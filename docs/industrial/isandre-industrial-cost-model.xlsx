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185c0e536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009c2b3392463f"/>
    <x:sheet xmlns:r="http://schemas.openxmlformats.org/officeDocument/2006/relationships" name="Summary" sheetId="2" r:id="Rf3d2e8dffae74399"/>
    <x:sheet xmlns:r="http://schemas.openxmlformats.org/officeDocument/2006/relationships" name="Assumptions" sheetId="3" r:id="R97f2bd6ca2d4425d"/>
    <x:sheet xmlns:r="http://schemas.openxmlformats.org/officeDocument/2006/relationships" name="Pricebook" sheetId="4" r:id="R8f7301fd3ae6437e"/>
    <x:sheet xmlns:r="http://schemas.openxmlformats.org/officeDocument/2006/relationships" name="Targets" sheetId="5" r:id="Rf8c49091aa8f41db"/>
    <x:sheet xmlns:r="http://schemas.openxmlformats.org/officeDocument/2006/relationships" name="Quotes" sheetId="6" r:id="Rba0740325e974581"/>
    <x:sheet xmlns:r="http://schemas.openxmlformats.org/officeDocument/2006/relationships" name="Supplier_Score" sheetId="7" r:id="Rf26721b47ae347f2"/>
    <x:sheet xmlns:r="http://schemas.openxmlformats.org/officeDocument/2006/relationships" name="Checks" sheetId="8" r:id="Re8be123a53f74162"/>
    <x:sheet xmlns:r="http://schemas.openxmlformats.org/officeDocument/2006/relationships" name="Sources" sheetId="9" r:id="R2de1c22aef48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"/>
    <x:numFmt numFmtId="202" formatCode="€#,##0"/>
    <x:numFmt numFmtId="203" formatCode="0.0"/>
  </x:numFmts>
  <x:fonts count="11">
    <x:font>
      <x:sz val="11"/>
      <x:name val="Carlito"/>
    </x:font>
    <x:font>
      <x:b/>
      <x:sz val="18"/>
      <x:color rgb="FFFCFBF7"/>
      <x:name val="Carlito"/>
    </x:font>
    <x:font>
      <x:i/>
      <x:sz val="9"/>
      <x:color rgb="FF6D5B4B"/>
      <x:name val="Carlito"/>
    </x:font>
    <x:font>
      <x:b/>
      <x:sz val="11"/>
      <x:color rgb="FFFFFFFF"/>
      <x:name val="Carlito"/>
    </x:font>
    <x:font>
      <x:b/>
      <x:sz val="11"/>
      <x:color rgb="FF274C77"/>
      <x:name val="Carlito"/>
    </x:font>
    <x:font>
      <x:b/>
      <x:sz val="11"/>
      <x:color rgb="FF1B1917"/>
      <x:name val="Carlito"/>
    </x:font>
    <x:font>
      <x:sz val="11"/>
      <x:color rgb="FF1B1917"/>
      <x:name val="Carlito"/>
    </x:font>
    <x:font>
      <x:b/>
      <x:sz val="13"/>
      <x:color rgb="FF1B1917"/>
      <x:name val="Carlito"/>
    </x:font>
    <x:font>
      <x:b/>
      <x:sz val="11"/>
      <x:name val="Carlito"/>
    </x:font>
    <x:font>
      <x:b/>
      <x:sz val="14"/>
      <x:color rgb="FF1B1917"/>
      <x:name val="Carlito"/>
    </x:font>
    <x:font>
      <x:b/>
      <x:sz val="18"/>
      <x:color rgb="FFFCFBF7"/>
      <x:name val="Georgia"/>
    </x:font>
  </x:fonts>
  <x:fills count="8">
    <x:fill>
      <x:patternFill patternType="none"/>
    </x:fill>
    <x:fill>
      <x:patternFill patternType="gray125"/>
    </x:fill>
    <x:fill>
      <x:patternFill patternType="solid">
        <x:fgColor rgb="FF1B1917"/>
      </x:patternFill>
    </x:fill>
    <x:fill>
      <x:patternFill patternType="solid">
        <x:fgColor rgb="FF274C77"/>
      </x:patternFill>
    </x:fill>
    <x:fill>
      <x:patternFill patternType="solid">
        <x:fgColor rgb="FFFFF2CC"/>
      </x:patternFill>
    </x:fill>
    <x:fill>
      <x:patternFill patternType="solid">
        <x:fgColor rgb="FFF4EFE6"/>
      </x:patternFill>
    </x:fill>
    <x:fill>
      <x:patternFill patternType="solid">
        <x:fgColor rgb="FFFCE4C3"/>
      </x:patternFill>
    </x:fill>
    <x:fill>
      <x:patternFill patternType="solid">
        <x:fgColor rgb="FFDDEAD8"/>
      </x:patternFill>
    </x:fill>
  </x:fills>
  <x:borders count="4">
    <x:border/>
    <x:border>
      <x:left style="thin">
        <x:color rgb="FFC9C0B2"/>
      </x:left>
      <x:top style="thin">
        <x:color rgb="FFC9C0B2"/>
      </x:top>
      <x:bottom style="thin">
        <x:color rgb="FFC9C0B2"/>
      </x:bottom>
    </x:border>
    <x:border>
      <x:top style="thin">
        <x:color rgb="FFC9C0B2"/>
      </x:top>
      <x:bottom style="thin">
        <x:color rgb="FFC9C0B2"/>
      </x:bottom>
    </x:border>
    <x:border>
      <x:right style="thin">
        <x:color rgb="FFC9C0B2"/>
      </x:right>
      <x:top style="thin">
        <x:color rgb="FFC9C0B2"/>
      </x:top>
      <x:bottom style="thin">
        <x:color rgb="FFC9C0B2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0" borderId="0" xfId="0" applyNumberFormat="1" applyFont="1" applyFill="1" applyBorder="1"/>
    <x:xf numFmtId="202" fontId="0" fillId="4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203" fontId="0" fillId="0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eb2237b624d1a" /><Relationship Type="http://schemas.openxmlformats.org/officeDocument/2006/relationships/theme" Target="/xl/theme/theme1.xml" Id="Rb4624834c10d420f" /><Relationship Type="http://schemas.openxmlformats.org/officeDocument/2006/relationships/sharedStrings" Target="/xl/sharedStrings.xml" Id="R316c4bf6a09e4977" /><Relationship Type="http://schemas.openxmlformats.org/officeDocument/2006/relationships/worksheet" Target="/xl/worksheets/sheet1.xml" Id="Ra6009c2b3392463f" /><Relationship Type="http://schemas.openxmlformats.org/officeDocument/2006/relationships/worksheet" Target="/xl/worksheets/sheet2.xml" Id="Rf3d2e8dffae74399" /><Relationship Type="http://schemas.openxmlformats.org/officeDocument/2006/relationships/worksheet" Target="/xl/worksheets/sheet3.xml" Id="R97f2bd6ca2d4425d" /><Relationship Type="http://schemas.openxmlformats.org/officeDocument/2006/relationships/worksheet" Target="/xl/worksheets/sheet4.xml" Id="R8f7301fd3ae6437e" /><Relationship Type="http://schemas.openxmlformats.org/officeDocument/2006/relationships/worksheet" Target="/xl/worksheets/sheet5.xml" Id="Rf8c49091aa8f41db" /><Relationship Type="http://schemas.openxmlformats.org/officeDocument/2006/relationships/worksheet" Target="/xl/worksheets/sheet6.xml" Id="Rba0740325e974581" /><Relationship Type="http://schemas.openxmlformats.org/officeDocument/2006/relationships/worksheet" Target="/xl/worksheets/sheet7.xml" Id="Rf26721b47ae347f2" /><Relationship Type="http://schemas.openxmlformats.org/officeDocument/2006/relationships/worksheet" Target="/xl/worksheets/sheet8.xml" Id="Re8be123a53f74162" /><Relationship Type="http://schemas.openxmlformats.org/officeDocument/2006/relationships/worksheet" Target="/xl/worksheets/sheet9.xml" Id="R2de1c22aef48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</x:cols>
  <x:sheetData>
    <x:row r="1" ht="30" customHeight="1">
      <x:c r="A1" s="53" t="str">
        <x:v>ISANDRE / ṬĀQA — Industrial model A5</x:v>
      </x:c>
      <x:c r="B1" s="53"/>
      <x:c r="C1" s="53"/>
      <x:c r="D1" s="53"/>
      <x:c r="E1" s="53"/>
      <x:c r="F1" s="53"/>
      <x:c r="G1" s="53"/>
      <x:c r="H1" s="53"/>
    </x:row>
    <x:row r="2" ht="30" customHeight="1">
      <x:c r="A2" s="53"/>
      <x:c r="B2" s="53"/>
      <x:c r="C2" s="53"/>
      <x:c r="D2" s="53"/>
      <x:c r="E2" s="53"/>
      <x:c r="F2" s="53"/>
      <x:c r="G2" s="53"/>
      <x:c r="H2" s="53"/>
    </x:row>
    <x:row r="3" ht="34" customHeight="1">
      <x:c r="A3" s="34" t="str">
        <x:v>Planning model, supplier RFQ input and decision controls. Yellow cells are editable. Zero does not mean free: it means missing.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Step</x:v>
      </x:c>
      <x:c r="B5" s="9" t="str">
        <x:v>Action</x:v>
      </x:c>
      <x:c r="C5" s="35"/>
      <x:c r="D5" s="35"/>
      <x:c r="E5" s="35"/>
      <x:c r="F5" s="35"/>
      <x:c r="G5" s="35"/>
      <x:c r="H5" s="35"/>
    </x:row>
    <x:row r="6" ht="22" customHeight="1">
      <x:c r="A6" s="36" t="str">
        <x:v>1</x:v>
      </x:c>
      <x:c r="B6" s="37" t="str">
        <x:v>Select supplier, product, finish and volume on Summary.</x:v>
      </x:c>
      <x:c r="C6" s="35"/>
      <x:c r="D6" s="35"/>
      <x:c r="E6" s="35"/>
      <x:c r="F6" s="35"/>
      <x:c r="G6" s="35"/>
      <x:c r="H6" s="35"/>
    </x:row>
    <x:row r="7" ht="22" customHeight="1">
      <x:c r="A7" s="36" t="str">
        <x:v>2</x:v>
      </x:c>
      <x:c r="B7" s="37" t="str">
        <x:v>Update market assumptions; replace planning rates with approved finance inputs.</x:v>
      </x:c>
      <x:c r="C7" s="35"/>
      <x:c r="D7" s="35"/>
      <x:c r="E7" s="35"/>
      <x:c r="F7" s="35"/>
      <x:c r="G7" s="35"/>
      <x:c r="H7" s="35"/>
    </x:row>
    <x:row r="8" ht="22" customHeight="1">
      <x:c r="A8" s="36" t="str">
        <x:v>3</x:v>
      </x:c>
      <x:c r="B8" s="37" t="str">
        <x:v>Keep public prices in Pricebook aligned with the canonical catalogue.</x:v>
      </x:c>
      <x:c r="C8" s="35"/>
      <x:c r="D8" s="35"/>
      <x:c r="E8" s="35"/>
      <x:c r="F8" s="35"/>
      <x:c r="G8" s="35"/>
      <x:c r="H8" s="35"/>
    </x:row>
    <x:row r="9" ht="22" customHeight="1">
      <x:c r="A9" s="36" t="str">
        <x:v>4</x:v>
      </x:c>
      <x:c r="B9" s="37" t="str">
        <x:v>Enter supplier quotations in yellow cells only.</x:v>
      </x:c>
      <x:c r="C9" s="35"/>
      <x:c r="D9" s="35"/>
      <x:c r="E9" s="35"/>
      <x:c r="F9" s="35"/>
      <x:c r="G9" s="35"/>
      <x:c r="H9" s="35"/>
    </x:row>
    <x:row r="10" ht="22" customHeight="1">
      <x:c r="A10" s="36" t="str">
        <x:v>5</x:v>
      </x:c>
      <x:c r="B10" s="37" t="str">
        <x:v>Complete hard gates and evidence-based supplier scores.</x:v>
      </x:c>
      <x:c r="C10" s="35"/>
      <x:c r="D10" s="35"/>
      <x:c r="E10" s="35"/>
      <x:c r="F10" s="35"/>
      <x:c r="G10" s="35"/>
      <x:c r="H10" s="35"/>
    </x:row>
    <x:row r="11" ht="22" customHeight="1">
      <x:c r="A11" s="36" t="str">
        <x:v>6</x:v>
      </x:c>
      <x:c r="B11" s="37" t="str">
        <x:v>Read Checks before any award or commercial launch.</x:v>
      </x:c>
      <x:c r="C11" s="35"/>
      <x:c r="D11" s="35"/>
      <x:c r="E11" s="35"/>
      <x:c r="F11" s="35"/>
      <x:c r="G11" s="35"/>
      <x:c r="H11" s="35"/>
    </x:row>
    <x:row r="12" ht="22" customHeight="1">
      <x:c r="A12" s="36" t="str">
        <x:v>7</x:v>
      </x:c>
      <x:c r="B12" s="37" t="str">
        <x:v>Treat VEILLE as blocked until its geometry is approved.</x:v>
      </x:c>
      <x:c r="C12" s="35"/>
      <x:c r="D12" s="35"/>
      <x:c r="E12" s="35"/>
      <x:c r="F12" s="35"/>
      <x:c r="G12" s="35"/>
      <x:c r="H12" s="35"/>
    </x:row>
    <x:row r="13" ht="22" customHeight="1">
      <x:c r="A13" s="36" t="str">
        <x:v>8</x:v>
      </x:c>
      <x:c r="B13" s="37" t="str">
        <x:v>Never compare ex-works price with landed cost.</x:v>
      </x:c>
      <x:c r="C13" s="35"/>
      <x:c r="D13" s="35"/>
      <x:c r="E13" s="35"/>
      <x:c r="F13" s="35"/>
      <x:c r="G13" s="35"/>
      <x:c r="H13" s="35"/>
    </x:row>
    <x:row r="14" ht="22" customHeight="1">
      <x:c r="A14" s="36" t="str">
        <x:v>9</x:v>
      </x:c>
      <x:c r="B14" s="37" t="str">
        <x:v>Never call PLANNING values supplier quotes.</x:v>
      </x:c>
      <x:c r="C14" s="35"/>
      <x:c r="D14" s="35"/>
      <x:c r="E14" s="35"/>
      <x:c r="F14" s="35"/>
      <x:c r="G14" s="35"/>
      <x:c r="H14" s="35"/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4" max="4" width="34" hidden="0" customWidth="1"/>
    <x:col min="5" max="5" width="22" hidden="0" customWidth="1"/>
  </x:cols>
  <x:sheetData>
    <x:row r="1" ht="30" customHeight="1">
      <x:c r="A1" s="53" t="str">
        <x:v>Decision summary</x:v>
      </x:c>
      <x:c r="B1" s="53"/>
      <x:c r="C1" s="53"/>
      <x:c r="D1" s="53"/>
      <x:c r="E1" s="53"/>
      <x:c r="F1" s="53"/>
      <x:c r="G1" s="53"/>
      <x:c r="H1" s="53"/>
    </x:row>
    <x:row r="2" ht="30" customHeight="1">
      <x:c r="A2" s="53"/>
      <x:c r="B2" s="53"/>
      <x:c r="C2" s="53"/>
      <x:c r="D2" s="53"/>
      <x:c r="E2" s="53"/>
      <x:c r="F2" s="53"/>
      <x:c r="G2" s="53"/>
      <x:c r="H2" s="53"/>
    </x:row>
    <x:row r="3" ht="34" customHeight="1">
      <x:c r="A3" s="34" t="str">
        <x:v>Select a scenario. PASS only means the quotation clears the planning contribution and landed-cost gates; physical gates still apply.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Scenario input</x:v>
      </x:c>
      <x:c r="B5" s="9" t="str">
        <x:v>Selection</x:v>
      </x:c>
      <x:c r="C5" s="35"/>
      <x:c r="D5" s="9" t="str">
        <x:v>Commercial and industrial output</x:v>
      </x:c>
      <x:c r="E5" s="9"/>
      <x:c r="F5" s="9"/>
      <x:c r="G5" s="35"/>
      <x:c r="H5" s="35"/>
    </x:row>
    <x:row r="6" ht="22" customHeight="1">
      <x:c r="A6" s="35" t="str">
        <x:v>Supplier</x:v>
      </x:c>
      <x:c r="B6" s="38" t="str">
        <x:v>Supplier A</x:v>
      </x:c>
      <x:c r="C6" s="35"/>
      <x:c r="D6" s="39" t="str">
        <x:v>Gross public price</x:v>
      </x:c>
      <x:c r="E6" s="40" t="n">
        <x:f>SUMIFS('Pricebook'!$E$6:$E$17,'Pricebook'!$A$6:$A$17,$B$7,'Pricebook'!$B$6:$B$17,$B$8)</x:f>
        <x:v>3000</x:v>
      </x:c>
      <x:c r="F6" s="35"/>
      <x:c r="G6" s="35"/>
      <x:c r="H6" s="35"/>
    </x:row>
    <x:row r="7" ht="22" customHeight="1">
      <x:c r="A7" s="35" t="str">
        <x:v>Product</x:v>
      </x:c>
      <x:c r="B7" s="38" t="str">
        <x:v>seuil-01</x:v>
      </x:c>
      <x:c r="C7" s="35"/>
      <x:c r="D7" s="39" t="str">
        <x:v>Net revenue ex VAT</x:v>
      </x:c>
      <x:c r="E7" s="40" t="n">
        <x:f>E6/(1+'Assumptions'!$B$6)</x:f>
        <x:v>2500</x:v>
      </x:c>
      <x:c r="F7" s="35"/>
      <x:c r="G7" s="35"/>
      <x:c r="H7" s="35"/>
    </x:row>
    <x:row r="8" ht="22" customHeight="1">
      <x:c r="A8" s="35" t="str">
        <x:v>Finish</x:v>
      </x:c>
      <x:c r="B8" s="38" t="str">
        <x:v>chalk</x:v>
      </x:c>
      <x:c r="C8" s="35"/>
      <x:c r="D8" s="39" t="str">
        <x:v>Payment fee</x:v>
      </x:c>
      <x:c r="E8" s="40" t="n">
        <x:f>E6*'Assumptions'!$B$7</x:f>
        <x:v>90</x:v>
      </x:c>
      <x:c r="F8" s="35"/>
      <x:c r="G8" s="35"/>
      <x:c r="H8" s="35"/>
    </x:row>
    <x:row r="9" ht="22" customHeight="1">
      <x:c r="A9" s="35" t="str">
        <x:v>Volume</x:v>
      </x:c>
      <x:c r="B9" s="38" t="n">
        <x:v>100</x:v>
      </x:c>
      <x:c r="C9" s="35"/>
      <x:c r="D9" s="39" t="str">
        <x:v>Returns reserve</x:v>
      </x:c>
      <x:c r="E9" s="40" t="n">
        <x:f>E7*'Assumptions'!$B$8</x:f>
        <x:v>75</x:v>
      </x:c>
      <x:c r="F9" s="35"/>
      <x:c r="G9" s="35"/>
      <x:c r="H9" s="35"/>
    </x:row>
    <x:row r="10" ht="22" customHeight="1">
      <x:c r="A10" s="35"/>
      <x:c r="B10" s="35"/>
      <x:c r="C10" s="35"/>
      <x:c r="D10" s="39" t="str">
        <x:v>Warranty reserve</x:v>
      </x:c>
      <x:c r="E10" s="40" t="n">
        <x:f>E7*'Assumptions'!$B$9</x:f>
        <x:v>50</x:v>
      </x:c>
      <x:c r="F10" s="35"/>
      <x:c r="G10" s="35"/>
      <x:c r="H10" s="35"/>
    </x:row>
    <x:row r="11" ht="22" customHeight="1">
      <x:c r="A11" s="35"/>
      <x:c r="B11" s="35"/>
      <x:c r="C11" s="35"/>
      <x:c r="D11" s="39" t="str">
        <x:v>Marketing allowance</x:v>
      </x:c>
      <x:c r="E11" s="40" t="n">
        <x:f>E7*'Assumptions'!$B$10</x:f>
        <x:v>375</x:v>
      </x:c>
      <x:c r="F11" s="35"/>
      <x:c r="G11" s="35"/>
      <x:c r="H11" s="35"/>
    </x:row>
    <x:row r="12" ht="22" customHeight="1">
      <x:c r="A12" s="35"/>
      <x:c r="B12" s="35"/>
      <x:c r="C12" s="35"/>
      <x:c r="D12" s="39" t="str">
        <x:v>Target contribution</x:v>
      </x:c>
      <x:c r="E12" s="40" t="n">
        <x:f>E7*'Assumptions'!$B$11</x:f>
        <x:v>625</x:v>
      </x:c>
      <x:c r="F12" s="35"/>
      <x:c r="G12" s="35"/>
      <x:c r="H12" s="35"/>
    </x:row>
    <x:row r="13" ht="22" customHeight="1">
      <x:c r="A13" s="35"/>
      <x:c r="B13" s="35"/>
      <x:c r="C13" s="35"/>
      <x:c r="D13" s="39" t="str">
        <x:v>Maximum allowable landed cost</x:v>
      </x:c>
      <x:c r="E13" s="40" t="n">
        <x:f>E7-SUM(E8:E12)</x:f>
        <x:v>1285</x:v>
      </x:c>
      <x:c r="F13" s="35"/>
      <x:c r="G13" s="35"/>
      <x:c r="H13" s="35"/>
    </x:row>
    <x:row r="14" ht="22" customHeight="1">
      <x:c r="A14" s="35"/>
      <x:c r="B14" s="35"/>
      <x:c r="C14" s="35"/>
      <x:c r="D14" s="39" t="str">
        <x:v>Quoted landed cost</x:v>
      </x:c>
      <x:c r="E14" s="40" t="n">
        <x:f>SUMIFS('Quotes'!$S$6:$S$50,'Quotes'!$A$6:$A$50,$B$6,'Quotes'!$B$6:$B$50,$B$7,'Quotes'!$D$6:$D$50,$B$9)</x:f>
        <x:v>0</x:v>
      </x:c>
      <x:c r="F14" s="35"/>
      <x:c r="G14" s="35"/>
      <x:c r="H14" s="35"/>
    </x:row>
    <x:row r="15" ht="22" customHeight="1">
      <x:c r="A15" s="35"/>
      <x:c r="B15" s="35"/>
      <x:c r="C15" s="35"/>
      <x:c r="D15" s="39" t="str">
        <x:v>Decision</x:v>
      </x:c>
      <x:c r="E15" s="41" t="str">
        <x:f>IF(B7="veille-03","BLOCKED",IF(E14=0,"NEEDS QUOTE",IF(E14&gt;E13,"REVIEW MARGIN",IF(E14&gt;SUMIFS('Targets'!$F$6:$F$8,'Targets'!$A$6:$A$8,B7),"OVER LANDED TARGET","PASS"))))</x:f>
        <x:v>NEEDS QUOTE</x:v>
      </x:c>
      <x:c r="F15" s="35"/>
      <x:c r="G15" s="35"/>
      <x:c r="H15" s="35"/>
    </x:row>
    <x:row r="16" ht="22" customHeight="1">
      <x:c r="A16" s="35"/>
      <x:c r="B16" s="35"/>
      <x:c r="C16" s="35"/>
      <x:c r="D16" s="35"/>
      <x:c r="E16" s="35"/>
      <x:c r="F16" s="35"/>
      <x:c r="G16" s="35"/>
      <x:c r="H16" s="35"/>
    </x:row>
    <x:row r="17" ht="22" customHeight="1">
      <x:c r="A17" s="35"/>
      <x:c r="B17" s="35"/>
      <x:c r="C17" s="35"/>
      <x:c r="D17" s="35"/>
      <x:c r="E17" s="35"/>
      <x:c r="F17" s="35"/>
      <x:c r="G17" s="35"/>
      <x:c r="H17" s="35"/>
    </x:row>
    <x:row r="18" ht="22" customHeight="1">
      <x:c r="A18" s="9" t="str">
        <x:v>Physical release gates</x:v>
      </x:c>
      <x:c r="B18" s="9"/>
      <x:c r="C18" s="9"/>
      <x:c r="D18" s="9"/>
      <x:c r="E18" s="9"/>
      <x:c r="F18" s="9"/>
      <x:c r="G18" s="35"/>
      <x:c r="H18" s="35"/>
    </x:row>
    <x:row r="19" ht="22" customHeight="1">
      <x:c r="A19" s="9" t="str">
        <x:v>Gate</x:v>
      </x:c>
      <x:c r="B19" s="9" t="str">
        <x:v>Status</x:v>
      </x:c>
      <x:c r="C19" s="35"/>
      <x:c r="D19" s="35"/>
      <x:c r="E19" s="35"/>
      <x:c r="F19" s="35"/>
      <x:c r="G19" s="35"/>
      <x:c r="H19" s="35"/>
    </x:row>
    <x:row r="20" ht="22" customHeight="1">
      <x:c r="A20" s="42" t="str">
        <x:v>Canonical geometry</x:v>
      </x:c>
      <x:c r="B20" s="43" t="str">
        <x:v>DIGITAL PASS</x:v>
      </x:c>
      <x:c r="C20" s="35"/>
      <x:c r="D20" s="35"/>
      <x:c r="E20" s="35"/>
      <x:c r="F20" s="35"/>
      <x:c r="G20" s="35"/>
      <x:c r="H20" s="35"/>
    </x:row>
    <x:row r="21" ht="22" customHeight="1">
      <x:c r="A21" s="42" t="str">
        <x:v>VEILLE dimensions</x:v>
      </x:c>
      <x:c r="B21" s="43" t="str">
        <x:v>BLOCKED</x:v>
      </x:c>
      <x:c r="C21" s="35"/>
      <x:c r="D21" s="35"/>
      <x:c r="E21" s="35"/>
      <x:c r="F21" s="35"/>
      <x:c r="G21" s="35"/>
      <x:c r="H21" s="35"/>
    </x:row>
    <x:row r="22" ht="22" customHeight="1">
      <x:c r="A22" s="42" t="str">
        <x:v>Material coupons</x:v>
      </x:c>
      <x:c r="B22" s="43" t="str">
        <x:v>OPEN</x:v>
      </x:c>
      <x:c r="C22" s="35"/>
      <x:c r="D22" s="35"/>
      <x:c r="E22" s="35"/>
      <x:c r="F22" s="35"/>
      <x:c r="G22" s="35"/>
      <x:c r="H22" s="35"/>
    </x:row>
    <x:row r="23" ht="22" customHeight="1">
      <x:c r="A23" s="42" t="str">
        <x:v>Functional section</x:v>
      </x:c>
      <x:c r="B23" s="43" t="str">
        <x:v>OPEN</x:v>
      </x:c>
      <x:c r="C23" s="35"/>
      <x:c r="D23" s="35"/>
      <x:c r="E23" s="35"/>
      <x:c r="F23" s="35"/>
      <x:c r="G23" s="35"/>
      <x:c r="H23" s="35"/>
    </x:row>
    <x:row r="24" ht="22" customHeight="1">
      <x:c r="A24" s="42" t="str">
        <x:v>SEUIL prototype</x:v>
      </x:c>
      <x:c r="B24" s="43" t="str">
        <x:v>OPEN</x:v>
      </x:c>
      <x:c r="C24" s="35"/>
      <x:c r="D24" s="35"/>
      <x:c r="E24" s="35"/>
      <x:c r="F24" s="35"/>
      <x:c r="G24" s="35"/>
      <x:c r="H24" s="35"/>
    </x:row>
    <x:row r="25" ht="22" customHeight="1">
      <x:c r="A25" s="42" t="str">
        <x:v>Laboratory tests</x:v>
      </x:c>
      <x:c r="B25" s="43" t="str">
        <x:v>OPEN</x:v>
      </x:c>
      <x:c r="C25" s="35"/>
      <x:c r="D25" s="35"/>
      <x:c r="E25" s="35"/>
      <x:c r="F25" s="35"/>
      <x:c r="G25" s="35"/>
      <x:c r="H25" s="35"/>
    </x:row>
    <x:row r="26" ht="22" customHeight="1">
      <x:c r="A26" s="42" t="str">
        <x:v>Packaging qualification</x:v>
      </x:c>
      <x:c r="B26" s="43" t="str">
        <x:v>OPEN</x:v>
      </x:c>
      <x:c r="C26" s="35"/>
      <x:c r="D26" s="35"/>
      <x:c r="E26" s="35"/>
      <x:c r="F26" s="35"/>
      <x:c r="G26" s="35"/>
      <x:c r="H26" s="35"/>
    </x:row>
  </x:sheetData>
  <x:mergeCells>
    <x:mergeCell ref="A1:H2"/>
    <x:mergeCell ref="A3:H3"/>
    <x:mergeCell ref="D5:F5"/>
    <x:mergeCell ref="A18:F18"/>
  </x:mergeCells>
  <x:dataValidations count="4">
    <x:dataValidation type="list" sqref="B6">
      <x:formula1>"Supplier A,Supplier B,Supplier C"</x:formula1>
    </x:dataValidation>
    <x:dataValidation type="list" sqref="B7">
      <x:formula1>"seuil-01,portee-02,veille-03"</x:formula1>
    </x:dataValidation>
    <x:dataValidation type="list" sqref="B8">
      <x:formula1>"chalk,butter,sage,rose-clay"</x:formula1>
    </x:dataValidation>
    <x:dataValidation type="list" sqref="B9">
      <x:formula1>"10,50,100,250,500"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6" hidden="0" customWidth="1"/>
    <x:col min="4" max="4" width="18" hidden="0" customWidth="1"/>
  </x:cols>
  <x:sheetData>
    <x:row r="1" ht="30" customHeight="1">
      <x:c r="A1" s="3" t="str">
        <x:v>Assumptions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Planning inputs only. Market-specific tax, payment, returns, freight and service data must replace them before launch.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Driver</x:v>
      </x:c>
      <x:c r="B5" s="9" t="str">
        <x:v>Value</x:v>
      </x:c>
      <x:c r="C5" s="9" t="str">
        <x:v>Unit</x:v>
      </x:c>
      <x:c r="D5" s="9" t="str">
        <x:v>Status</x:v>
      </x:c>
      <x:c r="E5" s="35"/>
      <x:c r="F5" s="35"/>
      <x:c r="G5" s="35"/>
      <x:c r="H5" s="35"/>
    </x:row>
    <x:row r="6" ht="22" customHeight="1">
      <x:c r="A6" s="35" t="str">
        <x:v>VAT</x:v>
      </x:c>
      <x:c r="B6" s="44" t="n">
        <x:v>0.2</x:v>
      </x:c>
      <x:c r="C6" s="35" t="str">
        <x:v>% of gross price</x:v>
      </x:c>
      <x:c r="D6" s="35" t="str">
        <x:v>PLANNING</x:v>
      </x:c>
      <x:c r="E6" s="35"/>
      <x:c r="F6" s="35"/>
      <x:c r="G6" s="35"/>
      <x:c r="H6" s="35"/>
    </x:row>
    <x:row r="7" ht="22" customHeight="1">
      <x:c r="A7" s="35" t="str">
        <x:v>Payment fee</x:v>
      </x:c>
      <x:c r="B7" s="44" t="n">
        <x:v>0.03</x:v>
      </x:c>
      <x:c r="C7" s="35" t="str">
        <x:v>% of gross price</x:v>
      </x:c>
      <x:c r="D7" s="35" t="str">
        <x:v>PLANNING</x:v>
      </x:c>
      <x:c r="E7" s="35"/>
      <x:c r="F7" s="35"/>
      <x:c r="G7" s="35"/>
      <x:c r="H7" s="35"/>
    </x:row>
    <x:row r="8" ht="22" customHeight="1">
      <x:c r="A8" s="35" t="str">
        <x:v>Returns reserve</x:v>
      </x:c>
      <x:c r="B8" s="44" t="n">
        <x:v>0.03</x:v>
      </x:c>
      <x:c r="C8" s="35" t="str">
        <x:v>% of net revenue</x:v>
      </x:c>
      <x:c r="D8" s="35" t="str">
        <x:v>PLANNING</x:v>
      </x:c>
      <x:c r="E8" s="35"/>
      <x:c r="F8" s="35"/>
      <x:c r="G8" s="35"/>
      <x:c r="H8" s="35"/>
    </x:row>
    <x:row r="9" ht="22" customHeight="1">
      <x:c r="A9" s="35" t="str">
        <x:v>Warranty reserve</x:v>
      </x:c>
      <x:c r="B9" s="44" t="n">
        <x:v>0.02</x:v>
      </x:c>
      <x:c r="C9" s="35" t="str">
        <x:v>% of net revenue</x:v>
      </x:c>
      <x:c r="D9" s="35" t="str">
        <x:v>PLANNING</x:v>
      </x:c>
      <x:c r="E9" s="35"/>
      <x:c r="F9" s="35"/>
      <x:c r="G9" s="35"/>
      <x:c r="H9" s="35"/>
    </x:row>
    <x:row r="10" ht="22" customHeight="1">
      <x:c r="A10" s="35" t="str">
        <x:v>Marketing allowance</x:v>
      </x:c>
      <x:c r="B10" s="44" t="n">
        <x:v>0.15</x:v>
      </x:c>
      <x:c r="C10" s="35" t="str">
        <x:v>% of net revenue</x:v>
      </x:c>
      <x:c r="D10" s="35" t="str">
        <x:v>PLANNING</x:v>
      </x:c>
      <x:c r="E10" s="35"/>
      <x:c r="F10" s="35"/>
      <x:c r="G10" s="35"/>
      <x:c r="H10" s="35"/>
    </x:row>
    <x:row r="11" ht="22" customHeight="1">
      <x:c r="A11" s="35" t="str">
        <x:v>Target contribution</x:v>
      </x:c>
      <x:c r="B11" s="44" t="n">
        <x:v>0.25</x:v>
      </x:c>
      <x:c r="C11" s="35" t="str">
        <x:v>% of net revenue</x:v>
      </x:c>
      <x:c r="D11" s="35" t="str">
        <x:v>PLANNING</x:v>
      </x:c>
      <x:c r="E11" s="35"/>
      <x:c r="F11" s="35"/>
      <x:c r="G11" s="35"/>
      <x:c r="H11" s="35"/>
    </x:row>
    <x:row r="12" ht="22" customHeight="1">
      <x:c r="A12" s="35" t="str">
        <x:v>Tool amortisation units</x:v>
      </x:c>
      <x:c r="B12" s="45" t="n">
        <x:v>500</x:v>
      </x:c>
      <x:c r="C12" s="35" t="str">
        <x:v>units</x:v>
      </x:c>
      <x:c r="D12" s="35" t="str">
        <x:v>PLANNING</x:v>
      </x:c>
      <x:c r="E12" s="35"/>
      <x:c r="F12" s="35"/>
      <x:c r="G12" s="35"/>
      <x:c r="H12" s="35"/>
    </x:row>
    <x:row r="13" ht="22" customHeight="1">
      <x:c r="A13" s="35" t="str">
        <x:v>Model currency</x:v>
      </x:c>
      <x:c r="B13" s="38" t="str">
        <x:v>EUR</x:v>
      </x:c>
      <x:c r="C13" s="35" t="str">
        <x:v>ISO 4217</x:v>
      </x:c>
      <x:c r="D13" s="35" t="str">
        <x:v>CANONICAL</x:v>
      </x:c>
      <x:c r="E13" s="35"/>
      <x:c r="F13" s="35"/>
      <x:c r="G13" s="35"/>
      <x:c r="H13" s="35"/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7" hidden="0" customWidth="1"/>
    <x:col min="5" max="5" width="16" hidden="0" customWidth="1"/>
    <x:col min="6" max="6" width="18" hidden="0" customWidth="1"/>
    <x:col min="7" max="7" width="34" hidden="0" customWidth="1"/>
  </x:cols>
  <x:sheetData>
    <x:row r="1" ht="30" customHeight="1">
      <x:c r="A1" s="3" t="str">
        <x:v>Canonical public pricebook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Browser amounts are never accepted as truth. These prices must remain aligned with lib/isandre/catalog.ts.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Product ID</x:v>
      </x:c>
      <x:c r="B5" s="9" t="str">
        <x:v>Finish ID</x:v>
      </x:c>
      <x:c r="C5" s="9" t="str">
        <x:v>Product</x:v>
      </x:c>
      <x:c r="D5" s="9" t="str">
        <x:v>Finish</x:v>
      </x:c>
      <x:c r="E5" s="9" t="str">
        <x:v>Gross price</x:v>
      </x:c>
      <x:c r="F5" s="9" t="str">
        <x:v>Currency basis</x:v>
      </x:c>
      <x:c r="G5" s="9" t="str">
        <x:v>Status</x:v>
      </x:c>
      <x:c r="H5" s="35"/>
    </x:row>
    <x:row r="6" ht="22" customHeight="1">
      <x:c r="A6" s="35" t="str">
        <x:v>seuil-01</x:v>
      </x:c>
      <x:c r="B6" s="35" t="str">
        <x:v>chalk</x:v>
      </x:c>
      <x:c r="C6" s="35" t="str">
        <x:v>SEUIL 01</x:v>
      </x:c>
      <x:c r="D6" s="35" t="str">
        <x:v>Chalk / Craie</x:v>
      </x:c>
      <x:c r="E6" s="40" t="n">
        <x:v>3000</x:v>
      </x:c>
      <x:c r="F6" s="35" t="str">
        <x:v>EUR incl. VAT</x:v>
      </x:c>
      <x:c r="G6" s="35" t="str">
        <x:v>WORKING PRICE</x:v>
      </x:c>
      <x:c r="H6" s="35"/>
    </x:row>
    <x:row r="7" ht="22" customHeight="1">
      <x:c r="A7" s="35" t="str">
        <x:v>seuil-01</x:v>
      </x:c>
      <x:c r="B7" s="35" t="str">
        <x:v>butter</x:v>
      </x:c>
      <x:c r="C7" s="35" t="str">
        <x:v>SEUIL 01</x:v>
      </x:c>
      <x:c r="D7" s="35" t="str">
        <x:v>Butter / Beurre</x:v>
      </x:c>
      <x:c r="E7" s="40" t="n">
        <x:v>3200</x:v>
      </x:c>
      <x:c r="F7" s="35" t="str">
        <x:v>EUR incl. VAT</x:v>
      </x:c>
      <x:c r="G7" s="35" t="str">
        <x:v>WORKING PRICE</x:v>
      </x:c>
      <x:c r="H7" s="35"/>
    </x:row>
    <x:row r="8" ht="22" customHeight="1">
      <x:c r="A8" s="35" t="str">
        <x:v>seuil-01</x:v>
      </x:c>
      <x:c r="B8" s="35" t="str">
        <x:v>sage</x:v>
      </x:c>
      <x:c r="C8" s="35" t="str">
        <x:v>SEUIL 01</x:v>
      </x:c>
      <x:c r="D8" s="35" t="str">
        <x:v>Sage / Sauge</x:v>
      </x:c>
      <x:c r="E8" s="40" t="n">
        <x:v>3300</x:v>
      </x:c>
      <x:c r="F8" s="35" t="str">
        <x:v>EUR incl. VAT</x:v>
      </x:c>
      <x:c r="G8" s="35" t="str">
        <x:v>WORKING PRICE</x:v>
      </x:c>
      <x:c r="H8" s="35"/>
    </x:row>
    <x:row r="9" ht="22" customHeight="1">
      <x:c r="A9" s="35" t="str">
        <x:v>seuil-01</x:v>
      </x:c>
      <x:c r="B9" s="35" t="str">
        <x:v>rose-clay</x:v>
      </x:c>
      <x:c r="C9" s="35" t="str">
        <x:v>SEUIL 01</x:v>
      </x:c>
      <x:c r="D9" s="35" t="str">
        <x:v>Rose Clay / Argile rose</x:v>
      </x:c>
      <x:c r="E9" s="40" t="n">
        <x:v>3500</x:v>
      </x:c>
      <x:c r="F9" s="35" t="str">
        <x:v>EUR incl. VAT</x:v>
      </x:c>
      <x:c r="G9" s="35" t="str">
        <x:v>WORKING PRICE</x:v>
      </x:c>
      <x:c r="H9" s="35"/>
    </x:row>
    <x:row r="10" ht="22" customHeight="1">
      <x:c r="A10" s="35" t="str">
        <x:v>portee-02</x:v>
      </x:c>
      <x:c r="B10" s="35" t="str">
        <x:v>chalk</x:v>
      </x:c>
      <x:c r="C10" s="35" t="str">
        <x:v>PORTÉE 02</x:v>
      </x:c>
      <x:c r="D10" s="35" t="str">
        <x:v>Chalk / Craie</x:v>
      </x:c>
      <x:c r="E10" s="40" t="n">
        <x:v>3000</x:v>
      </x:c>
      <x:c r="F10" s="35" t="str">
        <x:v>EUR incl. VAT</x:v>
      </x:c>
      <x:c r="G10" s="35" t="str">
        <x:v>WORKING PRICE</x:v>
      </x:c>
      <x:c r="H10" s="35"/>
    </x:row>
    <x:row r="11" ht="22" customHeight="1">
      <x:c r="A11" s="35" t="str">
        <x:v>portee-02</x:v>
      </x:c>
      <x:c r="B11" s="35" t="str">
        <x:v>butter</x:v>
      </x:c>
      <x:c r="C11" s="35" t="str">
        <x:v>PORTÉE 02</x:v>
      </x:c>
      <x:c r="D11" s="35" t="str">
        <x:v>Butter / Beurre</x:v>
      </x:c>
      <x:c r="E11" s="40" t="n">
        <x:v>3200</x:v>
      </x:c>
      <x:c r="F11" s="35" t="str">
        <x:v>EUR incl. VAT</x:v>
      </x:c>
      <x:c r="G11" s="35" t="str">
        <x:v>WORKING PRICE</x:v>
      </x:c>
      <x:c r="H11" s="35"/>
    </x:row>
    <x:row r="12" ht="22" customHeight="1">
      <x:c r="A12" s="35" t="str">
        <x:v>portee-02</x:v>
      </x:c>
      <x:c r="B12" s="35" t="str">
        <x:v>sage</x:v>
      </x:c>
      <x:c r="C12" s="35" t="str">
        <x:v>PORTÉE 02</x:v>
      </x:c>
      <x:c r="D12" s="35" t="str">
        <x:v>Sage / Sauge</x:v>
      </x:c>
      <x:c r="E12" s="40" t="n">
        <x:v>3300</x:v>
      </x:c>
      <x:c r="F12" s="35" t="str">
        <x:v>EUR incl. VAT</x:v>
      </x:c>
      <x:c r="G12" s="35" t="str">
        <x:v>WORKING PRICE</x:v>
      </x:c>
      <x:c r="H12" s="35"/>
    </x:row>
    <x:row r="13" ht="22" customHeight="1">
      <x:c r="A13" s="35" t="str">
        <x:v>portee-02</x:v>
      </x:c>
      <x:c r="B13" s="35" t="str">
        <x:v>rose-clay</x:v>
      </x:c>
      <x:c r="C13" s="35" t="str">
        <x:v>PORTÉE 02</x:v>
      </x:c>
      <x:c r="D13" s="35" t="str">
        <x:v>Rose Clay / Argile rose</x:v>
      </x:c>
      <x:c r="E13" s="40" t="n">
        <x:v>3500</x:v>
      </x:c>
      <x:c r="F13" s="35" t="str">
        <x:v>EUR incl. VAT</x:v>
      </x:c>
      <x:c r="G13" s="35" t="str">
        <x:v>WORKING PRICE</x:v>
      </x:c>
      <x:c r="H13" s="35"/>
    </x:row>
    <x:row r="14" ht="22" customHeight="1">
      <x:c r="A14" s="35" t="str">
        <x:v>veille-03</x:v>
      </x:c>
      <x:c r="B14" s="35" t="str">
        <x:v>chalk</x:v>
      </x:c>
      <x:c r="C14" s="35" t="str">
        <x:v>VEILLE 03</x:v>
      </x:c>
      <x:c r="D14" s="35" t="str">
        <x:v>Chalk / Craie</x:v>
      </x:c>
      <x:c r="E14" s="40" t="n">
        <x:v>750</x:v>
      </x:c>
      <x:c r="F14" s="35" t="str">
        <x:v>EUR incl. VAT</x:v>
      </x:c>
      <x:c r="G14" s="35" t="str">
        <x:v>COMMERCIAL PRICE / INDUSTRIAL BLOCK</x:v>
      </x:c>
      <x:c r="H14" s="35"/>
    </x:row>
    <x:row r="15" ht="22" customHeight="1">
      <x:c r="A15" s="35" t="str">
        <x:v>veille-03</x:v>
      </x:c>
      <x:c r="B15" s="35" t="str">
        <x:v>butter</x:v>
      </x:c>
      <x:c r="C15" s="35" t="str">
        <x:v>VEILLE 03</x:v>
      </x:c>
      <x:c r="D15" s="35" t="str">
        <x:v>Butter / Beurre</x:v>
      </x:c>
      <x:c r="E15" s="40" t="n">
        <x:v>800</x:v>
      </x:c>
      <x:c r="F15" s="35" t="str">
        <x:v>EUR incl. VAT</x:v>
      </x:c>
      <x:c r="G15" s="35" t="str">
        <x:v>COMMERCIAL PRICE / INDUSTRIAL BLOCK</x:v>
      </x:c>
      <x:c r="H15" s="35"/>
    </x:row>
    <x:row r="16" ht="22" customHeight="1">
      <x:c r="A16" s="35" t="str">
        <x:v>veille-03</x:v>
      </x:c>
      <x:c r="B16" s="35" t="str">
        <x:v>sage</x:v>
      </x:c>
      <x:c r="C16" s="35" t="str">
        <x:v>VEILLE 03</x:v>
      </x:c>
      <x:c r="D16" s="35" t="str">
        <x:v>Sage / Sauge</x:v>
      </x:c>
      <x:c r="E16" s="40" t="n">
        <x:v>850</x:v>
      </x:c>
      <x:c r="F16" s="35" t="str">
        <x:v>EUR incl. VAT</x:v>
      </x:c>
      <x:c r="G16" s="35" t="str">
        <x:v>COMMERCIAL PRICE / INDUSTRIAL BLOCK</x:v>
      </x:c>
      <x:c r="H16" s="35"/>
    </x:row>
    <x:row r="17" ht="22" customHeight="1">
      <x:c r="A17" s="35" t="str">
        <x:v>veille-03</x:v>
      </x:c>
      <x:c r="B17" s="35" t="str">
        <x:v>rose-clay</x:v>
      </x:c>
      <x:c r="C17" s="35" t="str">
        <x:v>VEILLE 03</x:v>
      </x:c>
      <x:c r="D17" s="35" t="str">
        <x:v>Rose Clay / Argile rose</x:v>
      </x:c>
      <x:c r="E17" s="40" t="n">
        <x:v>900</x:v>
      </x:c>
      <x:c r="F17" s="35" t="str">
        <x:v>EUR incl. VAT</x:v>
      </x:c>
      <x:c r="G17" s="35" t="str">
        <x:v>COMMERCIAL PRICE / INDUSTRIAL BLOCK</x:v>
      </x:c>
      <x:c r="H17" s="35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" hidden="0" customWidth="1"/>
    <x:col min="8" max="8" width="22" hidden="0" customWidth="1"/>
  </x:cols>
  <x:sheetData>
    <x:row r="1" ht="30" customHeight="1">
      <x:c r="A1" s="3" t="str">
        <x:v>Industrial cost targets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Design budgets from the material studies. They are not supplier quotations.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Product ID</x:v>
      </x:c>
      <x:c r="B5" s="9" t="str">
        <x:v>Product</x:v>
      </x:c>
      <x:c r="C5" s="9" t="str">
        <x:v>Factory min</x:v>
      </x:c>
      <x:c r="D5" s="9" t="str">
        <x:v>Factory max</x:v>
      </x:c>
      <x:c r="E5" s="9" t="str">
        <x:v>Landed min</x:v>
      </x:c>
      <x:c r="F5" s="9" t="str">
        <x:v>Landed max</x:v>
      </x:c>
      <x:c r="G5" s="9" t="str">
        <x:v>Route</x:v>
      </x:c>
      <x:c r="H5" s="9" t="str">
        <x:v>Status</x:v>
      </x:c>
    </x:row>
    <x:row r="6" ht="22" customHeight="1">
      <x:c r="A6" s="35" t="str">
        <x:v>seuil-01</x:v>
      </x:c>
      <x:c r="B6" s="35" t="str">
        <x:v>SEUIL 01</x:v>
      </x:c>
      <x:c r="C6" s="40" t="n">
        <x:v>650</x:v>
      </x:c>
      <x:c r="D6" s="40" t="n">
        <x:v>900</x:v>
      </x:c>
      <x:c r="E6" s="40" t="n">
        <x:v>850</x:v>
      </x:c>
      <x:c r="F6" s="40" t="n">
        <x:v>1150</x:v>
      </x:c>
      <x:c r="G6" s="35" t="str">
        <x:v>Rotomoulded LLDPE</x:v>
      </x:c>
      <x:c r="H6" s="35" t="str">
        <x:v>SUPPLIER REQUIRED</x:v>
      </x:c>
    </x:row>
    <x:row r="7" ht="22" customHeight="1">
      <x:c r="A7" s="35" t="str">
        <x:v>portee-02</x:v>
      </x:c>
      <x:c r="B7" s="35" t="str">
        <x:v>PORTÉE 02</x:v>
      </x:c>
      <x:c r="C7" s="40" t="n">
        <x:v>700</x:v>
      </x:c>
      <x:c r="D7" s="40" t="n">
        <x:v>950</x:v>
      </x:c>
      <x:c r="E7" s="40" t="n">
        <x:v>900</x:v>
      </x:c>
      <x:c r="F7" s="40" t="n">
        <x:v>1200</x:v>
      </x:c>
      <x:c r="G7" s="35" t="str">
        <x:v>Rotomoulded LLDPE</x:v>
      </x:c>
      <x:c r="H7" s="35" t="str">
        <x:v>SUPPLIER REQUIRED</x:v>
      </x:c>
    </x:row>
    <x:row r="8" ht="22" customHeight="1">
      <x:c r="A8" s="35" t="str">
        <x:v>veille-03</x:v>
      </x:c>
      <x:c r="B8" s="35" t="str">
        <x:v>VEILLE 03</x:v>
      </x:c>
      <x:c r="C8" s="40" t="n">
        <x:v>0</x:v>
      </x:c>
      <x:c r="D8" s="40" t="n">
        <x:v>0</x:v>
      </x:c>
      <x:c r="E8" s="40" t="n">
        <x:v>0</x:v>
      </x:c>
      <x:c r="F8" s="40" t="n">
        <x:v>0</x:v>
      </x:c>
      <x:c r="G8" s="35" t="str">
        <x:v>Unvalidated</x:v>
      </x:c>
      <x:c r="H8" s="35" t="str">
        <x:v>BLOCKED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8" hidden="0" customWidth="1"/>
  </x:cols>
  <x:sheetData>
    <x:row r="1" ht="30" customHeight="1">
      <x:c r="A1" s="3" t="str">
        <x:v>Supplier quotation input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34" customHeight="1">
      <x:c r="A3" s="34" t="str">
        <x:v>Enter complete quote components. Engineering and tooling are amortised over the visible assumption. VEILLE remains blocked.</x:v>
      </x:c>
      <x:c r="B3" s="34"/>
      <x:c r="C3" s="34"/>
      <x:c r="D3" s="34"/>
      <x:c r="E3" s="34"/>
      <x:c r="F3" s="34"/>
      <x:c r="G3" s="34"/>
      <x:c r="H3" s="34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</x:row>
    <x:row r="5" ht="22" customHeight="1">
      <x:c r="A5" s="9" t="str">
        <x:v>Supplier</x:v>
      </x:c>
      <x:c r="B5" s="9" t="str">
        <x:v>Product ID</x:v>
      </x:c>
      <x:c r="C5" s="9" t="str">
        <x:v>Route</x:v>
      </x:c>
      <x:c r="D5" s="9" t="str">
        <x:v>Volume</x:v>
      </x:c>
      <x:c r="E5" s="9" t="str">
        <x:v>DFM total</x:v>
      </x:c>
      <x:c r="F5" s="9" t="str">
        <x:v>Tooling total</x:v>
      </x:c>
      <x:c r="G5" s="9" t="str">
        <x:v>Amort. units</x:v>
      </x:c>
      <x:c r="H5" s="9" t="str">
        <x:v>DFM + tool / unit</x:v>
      </x:c>
      <x:c r="I5" s="9" t="str">
        <x:v>Factory unit</x:v>
      </x:c>
      <x:c r="J5" s="9" t="str">
        <x:v>Packaging</x:v>
      </x:c>
      <x:c r="K5" s="9" t="str">
        <x:v>QC</x:v>
      </x:c>
      <x:c r="L5" s="9" t="str">
        <x:v>Freight + insurance</x:v>
      </x:c>
      <x:c r="M5" s="9" t="str">
        <x:v>Duty</x:v>
      </x:c>
      <x:c r="N5" s="9" t="str">
        <x:v>Warehouse</x:v>
      </x:c>
      <x:c r="O5" s="9" t="str">
        <x:v>Damage reserve</x:v>
      </x:c>
      <x:c r="P5" s="9" t="str">
        <x:v>Repair reserve</x:v>
      </x:c>
      <x:c r="Q5" s="9" t="str">
        <x:v>Finance</x:v>
      </x:c>
      <x:c r="R5" s="9" t="str">
        <x:v>Ballast</x:v>
      </x:c>
      <x:c r="S5" s="9" t="str">
        <x:v>Landed cost</x:v>
      </x:c>
      <x:c r="T5" s="9" t="str">
        <x:v>Quote status</x:v>
      </x:c>
    </x:row>
    <x:row r="6" ht="22" customHeight="1">
      <x:c r="A6" s="35" t="str">
        <x:v>Supplier A</x:v>
      </x:c>
      <x:c r="B6" s="35" t="str">
        <x:v>seuil-01</x:v>
      </x:c>
      <x:c r="C6" s="35" t="str">
        <x:v>rotomoulded-lldpe</x:v>
      </x:c>
      <x:c r="D6" s="46" t="n">
        <x:v>10</x:v>
      </x:c>
      <x:c r="E6" s="47" t="n">
        <x:v>0</x:v>
      </x:c>
      <x:c r="F6" s="47" t="n">
        <x:v>0</x:v>
      </x:c>
      <x:c r="G6" s="40" t="n">
        <x:f>'Assumptions'!$B$12</x:f>
        <x:v>500</x:v>
      </x:c>
      <x:c r="H6" s="40" t="n">
        <x:f>IF(G6=0,0,(E6+F6)/G6)</x:f>
        <x:v>0</x:v>
      </x:c>
      <x:c r="I6" s="47" t="n">
        <x:v>0</x:v>
      </x:c>
      <x:c r="J6" s="47" t="n">
        <x:v>0</x:v>
      </x:c>
      <x:c r="K6" s="47" t="n">
        <x:v>0</x:v>
      </x:c>
      <x:c r="L6" s="47" t="n">
        <x:v>0</x:v>
      </x:c>
      <x:c r="M6" s="47" t="n">
        <x:v>0</x:v>
      </x:c>
      <x:c r="N6" s="47" t="n">
        <x:v>0</x:v>
      </x:c>
      <x:c r="O6" s="47" t="n">
        <x:v>0</x:v>
      </x:c>
      <x:c r="P6" s="47" t="n">
        <x:v>0</x:v>
      </x:c>
      <x:c r="Q6" s="47" t="n">
        <x:v>0</x:v>
      </x:c>
      <x:c r="R6" s="47" t="n">
        <x:v>0</x:v>
      </x:c>
      <x:c r="S6" s="40" t="n">
        <x:f>SUM(H6:R6)</x:f>
        <x:v>0</x:v>
      </x:c>
      <x:c r="T6" s="35" t="str">
        <x:f>IF(B6="veille-03","BLOCKED",IF(I6=0,"NEEDS QUOTE","COMPLETE"))</x:f>
        <x:v>NEEDS QUOTE</x:v>
      </x:c>
    </x:row>
    <x:row r="7" ht="22" customHeight="1">
      <x:c r="A7" s="35" t="str">
        <x:v>Supplier A</x:v>
      </x:c>
      <x:c r="B7" s="35" t="str">
        <x:v>seuil-01</x:v>
      </x:c>
      <x:c r="C7" s="35" t="str">
        <x:v>rotomoulded-lldpe</x:v>
      </x:c>
      <x:c r="D7" s="46" t="n">
        <x:v>50</x:v>
      </x:c>
      <x:c r="E7" s="47" t="n">
        <x:v>0</x:v>
      </x:c>
      <x:c r="F7" s="47" t="n">
        <x:v>0</x:v>
      </x:c>
      <x:c r="G7" s="40" t="n">
        <x:f>'Assumptions'!$B$12</x:f>
        <x:v>500</x:v>
      </x:c>
      <x:c r="H7" s="40" t="n">
        <x:f>IF(G7=0,0,(E7+F7)/G7)</x:f>
        <x:v>0</x:v>
      </x:c>
      <x:c r="I7" s="47" t="n">
        <x:v>0</x:v>
      </x:c>
      <x:c r="J7" s="47" t="n">
        <x:v>0</x:v>
      </x:c>
      <x:c r="K7" s="47" t="n">
        <x:v>0</x:v>
      </x:c>
      <x:c r="L7" s="47" t="n">
        <x:v>0</x:v>
      </x:c>
      <x:c r="M7" s="47" t="n">
        <x:v>0</x:v>
      </x:c>
      <x:c r="N7" s="47" t="n">
        <x:v>0</x:v>
      </x:c>
      <x:c r="O7" s="47" t="n">
        <x:v>0</x:v>
      </x:c>
      <x:c r="P7" s="47" t="n">
        <x:v>0</x:v>
      </x:c>
      <x:c r="Q7" s="47" t="n">
        <x:v>0</x:v>
      </x:c>
      <x:c r="R7" s="47" t="n">
        <x:v>0</x:v>
      </x:c>
      <x:c r="S7" s="40" t="n">
        <x:f>SUM(H7:R7)</x:f>
        <x:v>0</x:v>
      </x:c>
      <x:c r="T7" s="35" t="str">
        <x:f>IF(B7="veille-03","BLOCKED",IF(I7=0,"NEEDS QUOTE","COMPLETE"))</x:f>
        <x:v>NEEDS QUOTE</x:v>
      </x:c>
    </x:row>
    <x:row r="8" ht="22" customHeight="1">
      <x:c r="A8" s="35" t="str">
        <x:v>Supplier A</x:v>
      </x:c>
      <x:c r="B8" s="35" t="str">
        <x:v>seuil-01</x:v>
      </x:c>
      <x:c r="C8" s="35" t="str">
        <x:v>rotomoulded-lldpe</x:v>
      </x:c>
      <x:c r="D8" s="46" t="n">
        <x:v>100</x:v>
      </x:c>
      <x:c r="E8" s="47" t="n">
        <x:v>0</x:v>
      </x:c>
      <x:c r="F8" s="47" t="n">
        <x:v>0</x:v>
      </x:c>
      <x:c r="G8" s="40" t="n">
        <x:f>'Assumptions'!$B$12</x:f>
        <x:v>500</x:v>
      </x:c>
      <x:c r="H8" s="40" t="n">
        <x:f>IF(G8=0,0,(E8+F8)/G8)</x:f>
        <x:v>0</x:v>
      </x:c>
      <x:c r="I8" s="47" t="n">
        <x:v>0</x:v>
      </x:c>
      <x:c r="J8" s="47" t="n">
        <x:v>0</x:v>
      </x:c>
      <x:c r="K8" s="47" t="n">
        <x:v>0</x:v>
      </x:c>
      <x:c r="L8" s="47" t="n">
        <x:v>0</x:v>
      </x:c>
      <x:c r="M8" s="47" t="n">
        <x:v>0</x:v>
      </x:c>
      <x:c r="N8" s="47" t="n">
        <x:v>0</x:v>
      </x:c>
      <x:c r="O8" s="47" t="n">
        <x:v>0</x:v>
      </x:c>
      <x:c r="P8" s="47" t="n">
        <x:v>0</x:v>
      </x:c>
      <x:c r="Q8" s="47" t="n">
        <x:v>0</x:v>
      </x:c>
      <x:c r="R8" s="47" t="n">
        <x:v>0</x:v>
      </x:c>
      <x:c r="S8" s="40" t="n">
        <x:f>SUM(H8:R8)</x:f>
        <x:v>0</x:v>
      </x:c>
      <x:c r="T8" s="35" t="str">
        <x:f>IF(B8="veille-03","BLOCKED",IF(I8=0,"NEEDS QUOTE","COMPLETE"))</x:f>
        <x:v>NEEDS QUOTE</x:v>
      </x:c>
    </x:row>
    <x:row r="9" ht="22" customHeight="1">
      <x:c r="A9" s="35" t="str">
        <x:v>Supplier A</x:v>
      </x:c>
      <x:c r="B9" s="35" t="str">
        <x:v>seuil-01</x:v>
      </x:c>
      <x:c r="C9" s="35" t="str">
        <x:v>rotomoulded-lldpe</x:v>
      </x:c>
      <x:c r="D9" s="46" t="n">
        <x:v>250</x:v>
      </x:c>
      <x:c r="E9" s="47" t="n">
        <x:v>0</x:v>
      </x:c>
      <x:c r="F9" s="47" t="n">
        <x:v>0</x:v>
      </x:c>
      <x:c r="G9" s="40" t="n">
        <x:f>'Assumptions'!$B$12</x:f>
        <x:v>500</x:v>
      </x:c>
      <x:c r="H9" s="40" t="n">
        <x:f>IF(G9=0,0,(E9+F9)/G9)</x:f>
        <x:v>0</x:v>
      </x:c>
      <x:c r="I9" s="47" t="n">
        <x:v>0</x:v>
      </x:c>
      <x:c r="J9" s="47" t="n">
        <x:v>0</x:v>
      </x:c>
      <x:c r="K9" s="47" t="n">
        <x:v>0</x:v>
      </x:c>
      <x:c r="L9" s="47" t="n">
        <x:v>0</x:v>
      </x:c>
      <x:c r="M9" s="47" t="n">
        <x:v>0</x:v>
      </x:c>
      <x:c r="N9" s="47" t="n">
        <x:v>0</x:v>
      </x:c>
      <x:c r="O9" s="47" t="n">
        <x:v>0</x:v>
      </x:c>
      <x:c r="P9" s="47" t="n">
        <x:v>0</x:v>
      </x:c>
      <x:c r="Q9" s="47" t="n">
        <x:v>0</x:v>
      </x:c>
      <x:c r="R9" s="47" t="n">
        <x:v>0</x:v>
      </x:c>
      <x:c r="S9" s="40" t="n">
        <x:f>SUM(H9:R9)</x:f>
        <x:v>0</x:v>
      </x:c>
      <x:c r="T9" s="35" t="str">
        <x:f>IF(B9="veille-03","BLOCKED",IF(I9=0,"NEEDS QUOTE","COMPLETE"))</x:f>
        <x:v>NEEDS QUOTE</x:v>
      </x:c>
    </x:row>
    <x:row r="10" ht="22" customHeight="1">
      <x:c r="A10" s="35" t="str">
        <x:v>Supplier A</x:v>
      </x:c>
      <x:c r="B10" s="35" t="str">
        <x:v>seuil-01</x:v>
      </x:c>
      <x:c r="C10" s="35" t="str">
        <x:v>rotomoulded-lldpe</x:v>
      </x:c>
      <x:c r="D10" s="46" t="n">
        <x:v>500</x:v>
      </x:c>
      <x:c r="E10" s="47" t="n">
        <x:v>0</x:v>
      </x:c>
      <x:c r="F10" s="47" t="n">
        <x:v>0</x:v>
      </x:c>
      <x:c r="G10" s="40" t="n">
        <x:f>'Assumptions'!$B$12</x:f>
        <x:v>500</x:v>
      </x:c>
      <x:c r="H10" s="40" t="n">
        <x:f>IF(G10=0,0,(E10+F10)/G10)</x:f>
        <x:v>0</x:v>
      </x:c>
      <x:c r="I10" s="47" t="n">
        <x:v>0</x:v>
      </x:c>
      <x:c r="J10" s="47" t="n">
        <x:v>0</x:v>
      </x:c>
      <x:c r="K10" s="47" t="n">
        <x:v>0</x:v>
      </x:c>
      <x:c r="L10" s="47" t="n">
        <x:v>0</x:v>
      </x:c>
      <x:c r="M10" s="47" t="n">
        <x:v>0</x:v>
      </x:c>
      <x:c r="N10" s="47" t="n">
        <x:v>0</x:v>
      </x:c>
      <x:c r="O10" s="47" t="n">
        <x:v>0</x:v>
      </x:c>
      <x:c r="P10" s="47" t="n">
        <x:v>0</x:v>
      </x:c>
      <x:c r="Q10" s="47" t="n">
        <x:v>0</x:v>
      </x:c>
      <x:c r="R10" s="47" t="n">
        <x:v>0</x:v>
      </x:c>
      <x:c r="S10" s="40" t="n">
        <x:f>SUM(H10:R10)</x:f>
        <x:v>0</x:v>
      </x:c>
      <x:c r="T10" s="35" t="str">
        <x:f>IF(B10="veille-03","BLOCKED",IF(I10=0,"NEEDS QUOTE","COMPLETE"))</x:f>
        <x:v>NEEDS QUOTE</x:v>
      </x:c>
    </x:row>
    <x:row r="11" ht="22" customHeight="1">
      <x:c r="A11" s="35" t="str">
        <x:v>Supplier A</x:v>
      </x:c>
      <x:c r="B11" s="35" t="str">
        <x:v>portee-02</x:v>
      </x:c>
      <x:c r="C11" s="35" t="str">
        <x:v>rotomoulded-lldpe</x:v>
      </x:c>
      <x:c r="D11" s="46" t="n">
        <x:v>10</x:v>
      </x:c>
      <x:c r="E11" s="47" t="n">
        <x:v>0</x:v>
      </x:c>
      <x:c r="F11" s="47" t="n">
        <x:v>0</x:v>
      </x:c>
      <x:c r="G11" s="40" t="n">
        <x:f>'Assumptions'!$B$12</x:f>
        <x:v>500</x:v>
      </x:c>
      <x:c r="H11" s="40" t="n">
        <x:f>IF(G11=0,0,(E11+F11)/G11)</x:f>
        <x:v>0</x:v>
      </x:c>
      <x:c r="I11" s="47" t="n">
        <x:v>0</x:v>
      </x:c>
      <x:c r="J11" s="47" t="n">
        <x:v>0</x:v>
      </x:c>
      <x:c r="K11" s="47" t="n">
        <x:v>0</x:v>
      </x:c>
      <x:c r="L11" s="47" t="n">
        <x:v>0</x:v>
      </x:c>
      <x:c r="M11" s="47" t="n">
        <x:v>0</x:v>
      </x:c>
      <x:c r="N11" s="47" t="n">
        <x:v>0</x:v>
      </x:c>
      <x:c r="O11" s="47" t="n">
        <x:v>0</x:v>
      </x:c>
      <x:c r="P11" s="47" t="n">
        <x:v>0</x:v>
      </x:c>
      <x:c r="Q11" s="47" t="n">
        <x:v>0</x:v>
      </x:c>
      <x:c r="R11" s="47" t="n">
        <x:v>0</x:v>
      </x:c>
      <x:c r="S11" s="40" t="n">
        <x:f>SUM(H11:R11)</x:f>
        <x:v>0</x:v>
      </x:c>
      <x:c r="T11" s="35" t="str">
        <x:f>IF(B11="veille-03","BLOCKED",IF(I11=0,"NEEDS QUOTE","COMPLETE"))</x:f>
        <x:v>NEEDS QUOTE</x:v>
      </x:c>
    </x:row>
    <x:row r="12" ht="22" customHeight="1">
      <x:c r="A12" s="35" t="str">
        <x:v>Supplier A</x:v>
      </x:c>
      <x:c r="B12" s="35" t="str">
        <x:v>portee-02</x:v>
      </x:c>
      <x:c r="C12" s="35" t="str">
        <x:v>rotomoulded-lldpe</x:v>
      </x:c>
      <x:c r="D12" s="46" t="n">
        <x:v>50</x:v>
      </x:c>
      <x:c r="E12" s="47" t="n">
        <x:v>0</x:v>
      </x:c>
      <x:c r="F12" s="47" t="n">
        <x:v>0</x:v>
      </x:c>
      <x:c r="G12" s="40" t="n">
        <x:f>'Assumptions'!$B$12</x:f>
        <x:v>500</x:v>
      </x:c>
      <x:c r="H12" s="40" t="n">
        <x:f>IF(G12=0,0,(E12+F12)/G12)</x:f>
        <x:v>0</x:v>
      </x:c>
      <x:c r="I12" s="47" t="n">
        <x:v>0</x:v>
      </x:c>
      <x:c r="J12" s="47" t="n">
        <x:v>0</x:v>
      </x:c>
      <x:c r="K12" s="47" t="n">
        <x:v>0</x:v>
      </x:c>
      <x:c r="L12" s="47" t="n">
        <x:v>0</x:v>
      </x:c>
      <x:c r="M12" s="47" t="n">
        <x:v>0</x:v>
      </x:c>
      <x:c r="N12" s="47" t="n">
        <x:v>0</x:v>
      </x:c>
      <x:c r="O12" s="47" t="n">
        <x:v>0</x:v>
      </x:c>
      <x:c r="P12" s="47" t="n">
        <x:v>0</x:v>
      </x:c>
      <x:c r="Q12" s="47" t="n">
        <x:v>0</x:v>
      </x:c>
      <x:c r="R12" s="47" t="n">
        <x:v>0</x:v>
      </x:c>
      <x:c r="S12" s="40" t="n">
        <x:f>SUM(H12:R12)</x:f>
        <x:v>0</x:v>
      </x:c>
      <x:c r="T12" s="35" t="str">
        <x:f>IF(B12="veille-03","BLOCKED",IF(I12=0,"NEEDS QUOTE","COMPLETE"))</x:f>
        <x:v>NEEDS QUOTE</x:v>
      </x:c>
    </x:row>
    <x:row r="13" ht="22" customHeight="1">
      <x:c r="A13" s="35" t="str">
        <x:v>Supplier A</x:v>
      </x:c>
      <x:c r="B13" s="35" t="str">
        <x:v>portee-02</x:v>
      </x:c>
      <x:c r="C13" s="35" t="str">
        <x:v>rotomoulded-lldpe</x:v>
      </x:c>
      <x:c r="D13" s="46" t="n">
        <x:v>100</x:v>
      </x:c>
      <x:c r="E13" s="47" t="n">
        <x:v>0</x:v>
      </x:c>
      <x:c r="F13" s="47" t="n">
        <x:v>0</x:v>
      </x:c>
      <x:c r="G13" s="40" t="n">
        <x:f>'Assumptions'!$B$12</x:f>
        <x:v>500</x:v>
      </x:c>
      <x:c r="H13" s="40" t="n">
        <x:f>IF(G13=0,0,(E13+F13)/G13)</x:f>
        <x:v>0</x:v>
      </x:c>
      <x:c r="I13" s="47" t="n">
        <x:v>0</x:v>
      </x:c>
      <x:c r="J13" s="47" t="n">
        <x:v>0</x:v>
      </x:c>
      <x:c r="K13" s="47" t="n">
        <x:v>0</x:v>
      </x:c>
      <x:c r="L13" s="47" t="n">
        <x:v>0</x:v>
      </x:c>
      <x:c r="M13" s="47" t="n">
        <x:v>0</x:v>
      </x:c>
      <x:c r="N13" s="47" t="n">
        <x:v>0</x:v>
      </x:c>
      <x:c r="O13" s="47" t="n">
        <x:v>0</x:v>
      </x:c>
      <x:c r="P13" s="47" t="n">
        <x:v>0</x:v>
      </x:c>
      <x:c r="Q13" s="47" t="n">
        <x:v>0</x:v>
      </x:c>
      <x:c r="R13" s="47" t="n">
        <x:v>0</x:v>
      </x:c>
      <x:c r="S13" s="40" t="n">
        <x:f>SUM(H13:R13)</x:f>
        <x:v>0</x:v>
      </x:c>
      <x:c r="T13" s="35" t="str">
        <x:f>IF(B13="veille-03","BLOCKED",IF(I13=0,"NEEDS QUOTE","COMPLETE"))</x:f>
        <x:v>NEEDS QUOTE</x:v>
      </x:c>
    </x:row>
    <x:row r="14" ht="22" customHeight="1">
      <x:c r="A14" s="35" t="str">
        <x:v>Supplier A</x:v>
      </x:c>
      <x:c r="B14" s="35" t="str">
        <x:v>portee-02</x:v>
      </x:c>
      <x:c r="C14" s="35" t="str">
        <x:v>rotomoulded-lldpe</x:v>
      </x:c>
      <x:c r="D14" s="46" t="n">
        <x:v>250</x:v>
      </x:c>
      <x:c r="E14" s="47" t="n">
        <x:v>0</x:v>
      </x:c>
      <x:c r="F14" s="47" t="n">
        <x:v>0</x:v>
      </x:c>
      <x:c r="G14" s="40" t="n">
        <x:f>'Assumptions'!$B$12</x:f>
        <x:v>500</x:v>
      </x:c>
      <x:c r="H14" s="40" t="n">
        <x:f>IF(G14=0,0,(E14+F14)/G14)</x:f>
        <x:v>0</x:v>
      </x:c>
      <x:c r="I14" s="47" t="n">
        <x:v>0</x:v>
      </x:c>
      <x:c r="J14" s="47" t="n">
        <x:v>0</x:v>
      </x:c>
      <x:c r="K14" s="47" t="n">
        <x:v>0</x:v>
      </x:c>
      <x:c r="L14" s="47" t="n">
        <x:v>0</x:v>
      </x:c>
      <x:c r="M14" s="47" t="n">
        <x:v>0</x:v>
      </x:c>
      <x:c r="N14" s="47" t="n">
        <x:v>0</x:v>
      </x:c>
      <x:c r="O14" s="47" t="n">
        <x:v>0</x:v>
      </x:c>
      <x:c r="P14" s="47" t="n">
        <x:v>0</x:v>
      </x:c>
      <x:c r="Q14" s="47" t="n">
        <x:v>0</x:v>
      </x:c>
      <x:c r="R14" s="47" t="n">
        <x:v>0</x:v>
      </x:c>
      <x:c r="S14" s="40" t="n">
        <x:f>SUM(H14:R14)</x:f>
        <x:v>0</x:v>
      </x:c>
      <x:c r="T14" s="35" t="str">
        <x:f>IF(B14="veille-03","BLOCKED",IF(I14=0,"NEEDS QUOTE","COMPLETE"))</x:f>
        <x:v>NEEDS QUOTE</x:v>
      </x:c>
    </x:row>
    <x:row r="15" ht="22" customHeight="1">
      <x:c r="A15" s="35" t="str">
        <x:v>Supplier A</x:v>
      </x:c>
      <x:c r="B15" s="35" t="str">
        <x:v>portee-02</x:v>
      </x:c>
      <x:c r="C15" s="35" t="str">
        <x:v>rotomoulded-lldpe</x:v>
      </x:c>
      <x:c r="D15" s="46" t="n">
        <x:v>500</x:v>
      </x:c>
      <x:c r="E15" s="47" t="n">
        <x:v>0</x:v>
      </x:c>
      <x:c r="F15" s="47" t="n">
        <x:v>0</x:v>
      </x:c>
      <x:c r="G15" s="40" t="n">
        <x:f>'Assumptions'!$B$12</x:f>
        <x:v>500</x:v>
      </x:c>
      <x:c r="H15" s="40" t="n">
        <x:f>IF(G15=0,0,(E15+F15)/G15)</x:f>
        <x:v>0</x:v>
      </x:c>
      <x:c r="I15" s="47" t="n">
        <x:v>0</x:v>
      </x:c>
      <x:c r="J15" s="47" t="n">
        <x:v>0</x:v>
      </x:c>
      <x:c r="K15" s="47" t="n">
        <x:v>0</x:v>
      </x:c>
      <x:c r="L15" s="47" t="n">
        <x:v>0</x:v>
      </x:c>
      <x:c r="M15" s="47" t="n">
        <x:v>0</x:v>
      </x:c>
      <x:c r="N15" s="47" t="n">
        <x:v>0</x:v>
      </x:c>
      <x:c r="O15" s="47" t="n">
        <x:v>0</x:v>
      </x:c>
      <x:c r="P15" s="47" t="n">
        <x:v>0</x:v>
      </x:c>
      <x:c r="Q15" s="47" t="n">
        <x:v>0</x:v>
      </x:c>
      <x:c r="R15" s="47" t="n">
        <x:v>0</x:v>
      </x:c>
      <x:c r="S15" s="40" t="n">
        <x:f>SUM(H15:R15)</x:f>
        <x:v>0</x:v>
      </x:c>
      <x:c r="T15" s="35" t="str">
        <x:f>IF(B15="veille-03","BLOCKED",IF(I15=0,"NEEDS QUOTE","COMPLETE"))</x:f>
        <x:v>NEEDS QUOTE</x:v>
      </x:c>
    </x:row>
    <x:row r="16" ht="22" customHeight="1">
      <x:c r="A16" s="35" t="str">
        <x:v>Supplier A</x:v>
      </x:c>
      <x:c r="B16" s="35" t="str">
        <x:v>veille-03</x:v>
      </x:c>
      <x:c r="C16" s="35" t="str">
        <x:v>rotomoulded-lldpe</x:v>
      </x:c>
      <x:c r="D16" s="46" t="n">
        <x:v>10</x:v>
      </x:c>
      <x:c r="E16" s="47" t="n">
        <x:v>0</x:v>
      </x:c>
      <x:c r="F16" s="47" t="n">
        <x:v>0</x:v>
      </x:c>
      <x:c r="G16" s="40" t="n">
        <x:f>'Assumptions'!$B$12</x:f>
        <x:v>500</x:v>
      </x:c>
      <x:c r="H16" s="40" t="n">
        <x:f>IF(G16=0,0,(E16+F16)/G16)</x:f>
        <x:v>0</x:v>
      </x:c>
      <x:c r="I16" s="47" t="n">
        <x:v>0</x:v>
      </x:c>
      <x:c r="J16" s="47" t="n">
        <x:v>0</x:v>
      </x:c>
      <x:c r="K16" s="47" t="n">
        <x:v>0</x:v>
      </x:c>
      <x:c r="L16" s="47" t="n">
        <x:v>0</x:v>
      </x:c>
      <x:c r="M16" s="47" t="n">
        <x:v>0</x:v>
      </x:c>
      <x:c r="N16" s="47" t="n">
        <x:v>0</x:v>
      </x:c>
      <x:c r="O16" s="47" t="n">
        <x:v>0</x:v>
      </x:c>
      <x:c r="P16" s="47" t="n">
        <x:v>0</x:v>
      </x:c>
      <x:c r="Q16" s="47" t="n">
        <x:v>0</x:v>
      </x:c>
      <x:c r="R16" s="47" t="n">
        <x:v>0</x:v>
      </x:c>
      <x:c r="S16" s="40" t="n">
        <x:f>SUM(H16:R16)</x:f>
        <x:v>0</x:v>
      </x:c>
      <x:c r="T16" s="35" t="str">
        <x:f>IF(B16="veille-03","BLOCKED",IF(I16=0,"NEEDS QUOTE","COMPLETE"))</x:f>
        <x:v>BLOCKED</x:v>
      </x:c>
    </x:row>
    <x:row r="17" ht="22" customHeight="1">
      <x:c r="A17" s="35" t="str">
        <x:v>Supplier A</x:v>
      </x:c>
      <x:c r="B17" s="35" t="str">
        <x:v>veille-03</x:v>
      </x:c>
      <x:c r="C17" s="35" t="str">
        <x:v>rotomoulded-lldpe</x:v>
      </x:c>
      <x:c r="D17" s="46" t="n">
        <x:v>50</x:v>
      </x:c>
      <x:c r="E17" s="47" t="n">
        <x:v>0</x:v>
      </x:c>
      <x:c r="F17" s="47" t="n">
        <x:v>0</x:v>
      </x:c>
      <x:c r="G17" s="40" t="n">
        <x:f>'Assumptions'!$B$12</x:f>
        <x:v>500</x:v>
      </x:c>
      <x:c r="H17" s="40" t="n">
        <x:f>IF(G17=0,0,(E17+F17)/G17)</x:f>
        <x:v>0</x:v>
      </x:c>
      <x:c r="I17" s="47" t="n">
        <x:v>0</x:v>
      </x:c>
      <x:c r="J17" s="47" t="n">
        <x:v>0</x:v>
      </x:c>
      <x:c r="K17" s="47" t="n">
        <x:v>0</x:v>
      </x:c>
      <x:c r="L17" s="47" t="n">
        <x:v>0</x:v>
      </x:c>
      <x:c r="M17" s="47" t="n">
        <x:v>0</x:v>
      </x:c>
      <x:c r="N17" s="47" t="n">
        <x:v>0</x:v>
      </x:c>
      <x:c r="O17" s="47" t="n">
        <x:v>0</x:v>
      </x:c>
      <x:c r="P17" s="47" t="n">
        <x:v>0</x:v>
      </x:c>
      <x:c r="Q17" s="47" t="n">
        <x:v>0</x:v>
      </x:c>
      <x:c r="R17" s="47" t="n">
        <x:v>0</x:v>
      </x:c>
      <x:c r="S17" s="40" t="n">
        <x:f>SUM(H17:R17)</x:f>
        <x:v>0</x:v>
      </x:c>
      <x:c r="T17" s="35" t="str">
        <x:f>IF(B17="veille-03","BLOCKED",IF(I17=0,"NEEDS QUOTE","COMPLETE"))</x:f>
        <x:v>BLOCKED</x:v>
      </x:c>
    </x:row>
    <x:row r="18" ht="22" customHeight="1">
      <x:c r="A18" s="35" t="str">
        <x:v>Supplier A</x:v>
      </x:c>
      <x:c r="B18" s="35" t="str">
        <x:v>veille-03</x:v>
      </x:c>
      <x:c r="C18" s="35" t="str">
        <x:v>rotomoulded-lldpe</x:v>
      </x:c>
      <x:c r="D18" s="46" t="n">
        <x:v>100</x:v>
      </x:c>
      <x:c r="E18" s="47" t="n">
        <x:v>0</x:v>
      </x:c>
      <x:c r="F18" s="47" t="n">
        <x:v>0</x:v>
      </x:c>
      <x:c r="G18" s="40" t="n">
        <x:f>'Assumptions'!$B$12</x:f>
        <x:v>500</x:v>
      </x:c>
      <x:c r="H18" s="40" t="n">
        <x:f>IF(G18=0,0,(E18+F18)/G18)</x:f>
        <x:v>0</x:v>
      </x:c>
      <x:c r="I18" s="47" t="n">
        <x:v>0</x:v>
      </x:c>
      <x:c r="J18" s="47" t="n">
        <x:v>0</x:v>
      </x:c>
      <x:c r="K18" s="47" t="n">
        <x:v>0</x:v>
      </x:c>
      <x:c r="L18" s="47" t="n">
        <x:v>0</x:v>
      </x:c>
      <x:c r="M18" s="47" t="n">
        <x:v>0</x:v>
      </x:c>
      <x:c r="N18" s="47" t="n">
        <x:v>0</x:v>
      </x:c>
      <x:c r="O18" s="47" t="n">
        <x:v>0</x:v>
      </x:c>
      <x:c r="P18" s="47" t="n">
        <x:v>0</x:v>
      </x:c>
      <x:c r="Q18" s="47" t="n">
        <x:v>0</x:v>
      </x:c>
      <x:c r="R18" s="47" t="n">
        <x:v>0</x:v>
      </x:c>
      <x:c r="S18" s="40" t="n">
        <x:f>SUM(H18:R18)</x:f>
        <x:v>0</x:v>
      </x:c>
      <x:c r="T18" s="35" t="str">
        <x:f>IF(B18="veille-03","BLOCKED",IF(I18=0,"NEEDS QUOTE","COMPLETE"))</x:f>
        <x:v>BLOCKED</x:v>
      </x:c>
    </x:row>
    <x:row r="19" ht="22" customHeight="1">
      <x:c r="A19" s="35" t="str">
        <x:v>Supplier A</x:v>
      </x:c>
      <x:c r="B19" s="35" t="str">
        <x:v>veille-03</x:v>
      </x:c>
      <x:c r="C19" s="35" t="str">
        <x:v>rotomoulded-lldpe</x:v>
      </x:c>
      <x:c r="D19" s="46" t="n">
        <x:v>250</x:v>
      </x:c>
      <x:c r="E19" s="47" t="n">
        <x:v>0</x:v>
      </x:c>
      <x:c r="F19" s="47" t="n">
        <x:v>0</x:v>
      </x:c>
      <x:c r="G19" s="40" t="n">
        <x:f>'Assumptions'!$B$12</x:f>
        <x:v>500</x:v>
      </x:c>
      <x:c r="H19" s="40" t="n">
        <x:f>IF(G19=0,0,(E19+F19)/G19)</x:f>
        <x:v>0</x:v>
      </x:c>
      <x:c r="I19" s="47" t="n">
        <x:v>0</x:v>
      </x:c>
      <x:c r="J19" s="47" t="n">
        <x:v>0</x:v>
      </x:c>
      <x:c r="K19" s="47" t="n">
        <x:v>0</x:v>
      </x:c>
      <x:c r="L19" s="47" t="n">
        <x:v>0</x:v>
      </x:c>
      <x:c r="M19" s="47" t="n">
        <x:v>0</x:v>
      </x:c>
      <x:c r="N19" s="47" t="n">
        <x:v>0</x:v>
      </x:c>
      <x:c r="O19" s="47" t="n">
        <x:v>0</x:v>
      </x:c>
      <x:c r="P19" s="47" t="n">
        <x:v>0</x:v>
      </x:c>
      <x:c r="Q19" s="47" t="n">
        <x:v>0</x:v>
      </x:c>
      <x:c r="R19" s="47" t="n">
        <x:v>0</x:v>
      </x:c>
      <x:c r="S19" s="40" t="n">
        <x:f>SUM(H19:R19)</x:f>
        <x:v>0</x:v>
      </x:c>
      <x:c r="T19" s="35" t="str">
        <x:f>IF(B19="veille-03","BLOCKED",IF(I19=0,"NEEDS QUOTE","COMPLETE"))</x:f>
        <x:v>BLOCKED</x:v>
      </x:c>
    </x:row>
    <x:row r="20" ht="22" customHeight="1">
      <x:c r="A20" s="35" t="str">
        <x:v>Supplier A</x:v>
      </x:c>
      <x:c r="B20" s="35" t="str">
        <x:v>veille-03</x:v>
      </x:c>
      <x:c r="C20" s="35" t="str">
        <x:v>rotomoulded-lldpe</x:v>
      </x:c>
      <x:c r="D20" s="46" t="n">
        <x:v>500</x:v>
      </x:c>
      <x:c r="E20" s="47" t="n">
        <x:v>0</x:v>
      </x:c>
      <x:c r="F20" s="47" t="n">
        <x:v>0</x:v>
      </x:c>
      <x:c r="G20" s="40" t="n">
        <x:f>'Assumptions'!$B$12</x:f>
        <x:v>500</x:v>
      </x:c>
      <x:c r="H20" s="40" t="n">
        <x:f>IF(G20=0,0,(E20+F20)/G20)</x:f>
        <x:v>0</x:v>
      </x:c>
      <x:c r="I20" s="47" t="n">
        <x:v>0</x:v>
      </x:c>
      <x:c r="J20" s="47" t="n">
        <x:v>0</x:v>
      </x:c>
      <x:c r="K20" s="47" t="n">
        <x:v>0</x:v>
      </x:c>
      <x:c r="L20" s="47" t="n">
        <x:v>0</x:v>
      </x:c>
      <x:c r="M20" s="47" t="n">
        <x:v>0</x:v>
      </x:c>
      <x:c r="N20" s="47" t="n">
        <x:v>0</x:v>
      </x:c>
      <x:c r="O20" s="47" t="n">
        <x:v>0</x:v>
      </x:c>
      <x:c r="P20" s="47" t="n">
        <x:v>0</x:v>
      </x:c>
      <x:c r="Q20" s="47" t="n">
        <x:v>0</x:v>
      </x:c>
      <x:c r="R20" s="47" t="n">
        <x:v>0</x:v>
      </x:c>
      <x:c r="S20" s="40" t="n">
        <x:f>SUM(H20:R20)</x:f>
        <x:v>0</x:v>
      </x:c>
      <x:c r="T20" s="35" t="str">
        <x:f>IF(B20="veille-03","BLOCKED",IF(I20=0,"NEEDS QUOTE","COMPLETE"))</x:f>
        <x:v>BLOCKED</x:v>
      </x:c>
    </x:row>
    <x:row r="21" ht="22" customHeight="1">
      <x:c r="A21" s="35" t="str">
        <x:v>Supplier B</x:v>
      </x:c>
      <x:c r="B21" s="35" t="str">
        <x:v>seuil-01</x:v>
      </x:c>
      <x:c r="C21" s="35" t="str">
        <x:v>rotomoulded-lldpe</x:v>
      </x:c>
      <x:c r="D21" s="46" t="n">
        <x:v>10</x:v>
      </x:c>
      <x:c r="E21" s="47" t="n">
        <x:v>0</x:v>
      </x:c>
      <x:c r="F21" s="47" t="n">
        <x:v>0</x:v>
      </x:c>
      <x:c r="G21" s="40" t="n">
        <x:f>'Assumptions'!$B$12</x:f>
        <x:v>500</x:v>
      </x:c>
      <x:c r="H21" s="40" t="n">
        <x:f>IF(G21=0,0,(E21+F21)/G21)</x:f>
        <x:v>0</x:v>
      </x:c>
      <x:c r="I21" s="47" t="n">
        <x:v>0</x:v>
      </x:c>
      <x:c r="J21" s="47" t="n">
        <x:v>0</x:v>
      </x:c>
      <x:c r="K21" s="47" t="n">
        <x:v>0</x:v>
      </x:c>
      <x:c r="L21" s="47" t="n">
        <x:v>0</x:v>
      </x:c>
      <x:c r="M21" s="47" t="n">
        <x:v>0</x:v>
      </x:c>
      <x:c r="N21" s="47" t="n">
        <x:v>0</x:v>
      </x:c>
      <x:c r="O21" s="47" t="n">
        <x:v>0</x:v>
      </x:c>
      <x:c r="P21" s="47" t="n">
        <x:v>0</x:v>
      </x:c>
      <x:c r="Q21" s="47" t="n">
        <x:v>0</x:v>
      </x:c>
      <x:c r="R21" s="47" t="n">
        <x:v>0</x:v>
      </x:c>
      <x:c r="S21" s="40" t="n">
        <x:f>SUM(H21:R21)</x:f>
        <x:v>0</x:v>
      </x:c>
      <x:c r="T21" s="35" t="str">
        <x:f>IF(B21="veille-03","BLOCKED",IF(I21=0,"NEEDS QUOTE","COMPLETE"))</x:f>
        <x:v>NEEDS QUOTE</x:v>
      </x:c>
    </x:row>
    <x:row r="22" ht="22" customHeight="1">
      <x:c r="A22" s="35" t="str">
        <x:v>Supplier B</x:v>
      </x:c>
      <x:c r="B22" s="35" t="str">
        <x:v>seuil-01</x:v>
      </x:c>
      <x:c r="C22" s="35" t="str">
        <x:v>rotomoulded-lldpe</x:v>
      </x:c>
      <x:c r="D22" s="46" t="n">
        <x:v>50</x:v>
      </x:c>
      <x:c r="E22" s="47" t="n">
        <x:v>0</x:v>
      </x:c>
      <x:c r="F22" s="47" t="n">
        <x:v>0</x:v>
      </x:c>
      <x:c r="G22" s="40" t="n">
        <x:f>'Assumptions'!$B$12</x:f>
        <x:v>500</x:v>
      </x:c>
      <x:c r="H22" s="40" t="n">
        <x:f>IF(G22=0,0,(E22+F22)/G22)</x:f>
        <x:v>0</x:v>
      </x:c>
      <x:c r="I22" s="47" t="n">
        <x:v>0</x:v>
      </x:c>
      <x:c r="J22" s="47" t="n">
        <x:v>0</x:v>
      </x:c>
      <x:c r="K22" s="47" t="n">
        <x:v>0</x:v>
      </x:c>
      <x:c r="L22" s="47" t="n">
        <x:v>0</x:v>
      </x:c>
      <x:c r="M22" s="47" t="n">
        <x:v>0</x:v>
      </x:c>
      <x:c r="N22" s="47" t="n">
        <x:v>0</x:v>
      </x:c>
      <x:c r="O22" s="47" t="n">
        <x:v>0</x:v>
      </x:c>
      <x:c r="P22" s="47" t="n">
        <x:v>0</x:v>
      </x:c>
      <x:c r="Q22" s="47" t="n">
        <x:v>0</x:v>
      </x:c>
      <x:c r="R22" s="47" t="n">
        <x:v>0</x:v>
      </x:c>
      <x:c r="S22" s="40" t="n">
        <x:f>SUM(H22:R22)</x:f>
        <x:v>0</x:v>
      </x:c>
      <x:c r="T22" s="35" t="str">
        <x:f>IF(B22="veille-03","BLOCKED",IF(I22=0,"NEEDS QUOTE","COMPLETE"))</x:f>
        <x:v>NEEDS QUOTE</x:v>
      </x:c>
    </x:row>
    <x:row r="23" ht="22" customHeight="1">
      <x:c r="A23" s="35" t="str">
        <x:v>Supplier B</x:v>
      </x:c>
      <x:c r="B23" s="35" t="str">
        <x:v>seuil-01</x:v>
      </x:c>
      <x:c r="C23" s="35" t="str">
        <x:v>rotomoulded-lldpe</x:v>
      </x:c>
      <x:c r="D23" s="46" t="n">
        <x:v>100</x:v>
      </x:c>
      <x:c r="E23" s="47" t="n">
        <x:v>0</x:v>
      </x:c>
      <x:c r="F23" s="47" t="n">
        <x:v>0</x:v>
      </x:c>
      <x:c r="G23" s="40" t="n">
        <x:f>'Assumptions'!$B$12</x:f>
        <x:v>500</x:v>
      </x:c>
      <x:c r="H23" s="40" t="n">
        <x:f>IF(G23=0,0,(E23+F23)/G23)</x:f>
        <x:v>0</x:v>
      </x:c>
      <x:c r="I23" s="47" t="n">
        <x:v>0</x:v>
      </x:c>
      <x:c r="J23" s="47" t="n">
        <x:v>0</x:v>
      </x:c>
      <x:c r="K23" s="47" t="n">
        <x:v>0</x:v>
      </x:c>
      <x:c r="L23" s="47" t="n">
        <x:v>0</x:v>
      </x:c>
      <x:c r="M23" s="47" t="n">
        <x:v>0</x:v>
      </x:c>
      <x:c r="N23" s="47" t="n">
        <x:v>0</x:v>
      </x:c>
      <x:c r="O23" s="47" t="n">
        <x:v>0</x:v>
      </x:c>
      <x:c r="P23" s="47" t="n">
        <x:v>0</x:v>
      </x:c>
      <x:c r="Q23" s="47" t="n">
        <x:v>0</x:v>
      </x:c>
      <x:c r="R23" s="47" t="n">
        <x:v>0</x:v>
      </x:c>
      <x:c r="S23" s="40" t="n">
        <x:f>SUM(H23:R23)</x:f>
        <x:v>0</x:v>
      </x:c>
      <x:c r="T23" s="35" t="str">
        <x:f>IF(B23="veille-03","BLOCKED",IF(I23=0,"NEEDS QUOTE","COMPLETE"))</x:f>
        <x:v>NEEDS QUOTE</x:v>
      </x:c>
    </x:row>
    <x:row r="24" ht="22" customHeight="1">
      <x:c r="A24" s="35" t="str">
        <x:v>Supplier B</x:v>
      </x:c>
      <x:c r="B24" s="35" t="str">
        <x:v>seuil-01</x:v>
      </x:c>
      <x:c r="C24" s="35" t="str">
        <x:v>rotomoulded-lldpe</x:v>
      </x:c>
      <x:c r="D24" s="46" t="n">
        <x:v>250</x:v>
      </x:c>
      <x:c r="E24" s="47" t="n">
        <x:v>0</x:v>
      </x:c>
      <x:c r="F24" s="47" t="n">
        <x:v>0</x:v>
      </x:c>
      <x:c r="G24" s="40" t="n">
        <x:f>'Assumptions'!$B$12</x:f>
        <x:v>500</x:v>
      </x:c>
      <x:c r="H24" s="40" t="n">
        <x:f>IF(G24=0,0,(E24+F24)/G24)</x:f>
        <x:v>0</x:v>
      </x:c>
      <x:c r="I24" s="47" t="n">
        <x:v>0</x:v>
      </x:c>
      <x:c r="J24" s="47" t="n">
        <x:v>0</x:v>
      </x:c>
      <x:c r="K24" s="47" t="n">
        <x:v>0</x:v>
      </x:c>
      <x:c r="L24" s="47" t="n">
        <x:v>0</x:v>
      </x:c>
      <x:c r="M24" s="47" t="n">
        <x:v>0</x:v>
      </x:c>
      <x:c r="N24" s="47" t="n">
        <x:v>0</x:v>
      </x:c>
      <x:c r="O24" s="47" t="n">
        <x:v>0</x:v>
      </x:c>
      <x:c r="P24" s="47" t="n">
        <x:v>0</x:v>
      </x:c>
      <x:c r="Q24" s="47" t="n">
        <x:v>0</x:v>
      </x:c>
      <x:c r="R24" s="47" t="n">
        <x:v>0</x:v>
      </x:c>
      <x:c r="S24" s="40" t="n">
        <x:f>SUM(H24:R24)</x:f>
        <x:v>0</x:v>
      </x:c>
      <x:c r="T24" s="35" t="str">
        <x:f>IF(B24="veille-03","BLOCKED",IF(I24=0,"NEEDS QUOTE","COMPLETE"))</x:f>
        <x:v>NEEDS QUOTE</x:v>
      </x:c>
    </x:row>
    <x:row r="25" ht="22" customHeight="1">
      <x:c r="A25" s="35" t="str">
        <x:v>Supplier B</x:v>
      </x:c>
      <x:c r="B25" s="35" t="str">
        <x:v>seuil-01</x:v>
      </x:c>
      <x:c r="C25" s="35" t="str">
        <x:v>rotomoulded-lldpe</x:v>
      </x:c>
      <x:c r="D25" s="46" t="n">
        <x:v>500</x:v>
      </x:c>
      <x:c r="E25" s="47" t="n">
        <x:v>0</x:v>
      </x:c>
      <x:c r="F25" s="47" t="n">
        <x:v>0</x:v>
      </x:c>
      <x:c r="G25" s="40" t="n">
        <x:f>'Assumptions'!$B$12</x:f>
        <x:v>500</x:v>
      </x:c>
      <x:c r="H25" s="40" t="n">
        <x:f>IF(G25=0,0,(E25+F25)/G25)</x:f>
        <x:v>0</x:v>
      </x:c>
      <x:c r="I25" s="47" t="n">
        <x:v>0</x:v>
      </x:c>
      <x:c r="J25" s="47" t="n">
        <x:v>0</x:v>
      </x:c>
      <x:c r="K25" s="47" t="n">
        <x:v>0</x:v>
      </x:c>
      <x:c r="L25" s="47" t="n">
        <x:v>0</x:v>
      </x:c>
      <x:c r="M25" s="47" t="n">
        <x:v>0</x:v>
      </x:c>
      <x:c r="N25" s="47" t="n">
        <x:v>0</x:v>
      </x:c>
      <x:c r="O25" s="47" t="n">
        <x:v>0</x:v>
      </x:c>
      <x:c r="P25" s="47" t="n">
        <x:v>0</x:v>
      </x:c>
      <x:c r="Q25" s="47" t="n">
        <x:v>0</x:v>
      </x:c>
      <x:c r="R25" s="47" t="n">
        <x:v>0</x:v>
      </x:c>
      <x:c r="S25" s="40" t="n">
        <x:f>SUM(H25:R25)</x:f>
        <x:v>0</x:v>
      </x:c>
      <x:c r="T25" s="35" t="str">
        <x:f>IF(B25="veille-03","BLOCKED",IF(I25=0,"NEEDS QUOTE","COMPLETE"))</x:f>
        <x:v>NEEDS QUOTE</x:v>
      </x:c>
    </x:row>
    <x:row r="26" ht="22" customHeight="1">
      <x:c r="A26" s="35" t="str">
        <x:v>Supplier B</x:v>
      </x:c>
      <x:c r="B26" s="35" t="str">
        <x:v>portee-02</x:v>
      </x:c>
      <x:c r="C26" s="35" t="str">
        <x:v>rotomoulded-lldpe</x:v>
      </x:c>
      <x:c r="D26" s="46" t="n">
        <x:v>10</x:v>
      </x:c>
      <x:c r="E26" s="47" t="n">
        <x:v>0</x:v>
      </x:c>
      <x:c r="F26" s="47" t="n">
        <x:v>0</x:v>
      </x:c>
      <x:c r="G26" s="40" t="n">
        <x:f>'Assumptions'!$B$12</x:f>
        <x:v>500</x:v>
      </x:c>
      <x:c r="H26" s="40" t="n">
        <x:f>IF(G26=0,0,(E26+F26)/G26)</x:f>
        <x:v>0</x:v>
      </x:c>
      <x:c r="I26" s="47" t="n">
        <x:v>0</x:v>
      </x:c>
      <x:c r="J26" s="47" t="n">
        <x:v>0</x:v>
      </x:c>
      <x:c r="K26" s="47" t="n">
        <x:v>0</x:v>
      </x:c>
      <x:c r="L26" s="47" t="n">
        <x:v>0</x:v>
      </x:c>
      <x:c r="M26" s="47" t="n">
        <x:v>0</x:v>
      </x:c>
      <x:c r="N26" s="47" t="n">
        <x:v>0</x:v>
      </x:c>
      <x:c r="O26" s="47" t="n">
        <x:v>0</x:v>
      </x:c>
      <x:c r="P26" s="47" t="n">
        <x:v>0</x:v>
      </x:c>
      <x:c r="Q26" s="47" t="n">
        <x:v>0</x:v>
      </x:c>
      <x:c r="R26" s="47" t="n">
        <x:v>0</x:v>
      </x:c>
      <x:c r="S26" s="40" t="n">
        <x:f>SUM(H26:R26)</x:f>
        <x:v>0</x:v>
      </x:c>
      <x:c r="T26" s="35" t="str">
        <x:f>IF(B26="veille-03","BLOCKED",IF(I26=0,"NEEDS QUOTE","COMPLETE"))</x:f>
        <x:v>NEEDS QUOTE</x:v>
      </x:c>
    </x:row>
    <x:row r="27" ht="22" customHeight="1">
      <x:c r="A27" s="35" t="str">
        <x:v>Supplier B</x:v>
      </x:c>
      <x:c r="B27" s="35" t="str">
        <x:v>portee-02</x:v>
      </x:c>
      <x:c r="C27" s="35" t="str">
        <x:v>rotomoulded-lldpe</x:v>
      </x:c>
      <x:c r="D27" s="46" t="n">
        <x:v>50</x:v>
      </x:c>
      <x:c r="E27" s="47" t="n">
        <x:v>0</x:v>
      </x:c>
      <x:c r="F27" s="47" t="n">
        <x:v>0</x:v>
      </x:c>
      <x:c r="G27" s="40" t="n">
        <x:f>'Assumptions'!$B$12</x:f>
        <x:v>500</x:v>
      </x:c>
      <x:c r="H27" s="40" t="n">
        <x:f>IF(G27=0,0,(E27+F27)/G27)</x:f>
        <x:v>0</x:v>
      </x:c>
      <x:c r="I27" s="47" t="n">
        <x:v>0</x:v>
      </x:c>
      <x:c r="J27" s="47" t="n">
        <x:v>0</x:v>
      </x:c>
      <x:c r="K27" s="47" t="n">
        <x:v>0</x:v>
      </x:c>
      <x:c r="L27" s="47" t="n">
        <x:v>0</x:v>
      </x:c>
      <x:c r="M27" s="47" t="n">
        <x:v>0</x:v>
      </x:c>
      <x:c r="N27" s="47" t="n">
        <x:v>0</x:v>
      </x:c>
      <x:c r="O27" s="47" t="n">
        <x:v>0</x:v>
      </x:c>
      <x:c r="P27" s="47" t="n">
        <x:v>0</x:v>
      </x:c>
      <x:c r="Q27" s="47" t="n">
        <x:v>0</x:v>
      </x:c>
      <x:c r="R27" s="47" t="n">
        <x:v>0</x:v>
      </x:c>
      <x:c r="S27" s="40" t="n">
        <x:f>SUM(H27:R27)</x:f>
        <x:v>0</x:v>
      </x:c>
      <x:c r="T27" s="35" t="str">
        <x:f>IF(B27="veille-03","BLOCKED",IF(I27=0,"NEEDS QUOTE","COMPLETE"))</x:f>
        <x:v>NEEDS QUOTE</x:v>
      </x:c>
    </x:row>
    <x:row r="28" ht="22" customHeight="1">
      <x:c r="A28" s="35" t="str">
        <x:v>Supplier B</x:v>
      </x:c>
      <x:c r="B28" s="35" t="str">
        <x:v>portee-02</x:v>
      </x:c>
      <x:c r="C28" s="35" t="str">
        <x:v>rotomoulded-lldpe</x:v>
      </x:c>
      <x:c r="D28" s="46" t="n">
        <x:v>100</x:v>
      </x:c>
      <x:c r="E28" s="47" t="n">
        <x:v>0</x:v>
      </x:c>
      <x:c r="F28" s="47" t="n">
        <x:v>0</x:v>
      </x:c>
      <x:c r="G28" s="40" t="n">
        <x:f>'Assumptions'!$B$12</x:f>
        <x:v>500</x:v>
      </x:c>
      <x:c r="H28" s="40" t="n">
        <x:f>IF(G28=0,0,(E28+F28)/G28)</x:f>
        <x:v>0</x:v>
      </x:c>
      <x:c r="I28" s="47" t="n">
        <x:v>0</x:v>
      </x:c>
      <x:c r="J28" s="47" t="n">
        <x:v>0</x:v>
      </x:c>
      <x:c r="K28" s="47" t="n">
        <x:v>0</x:v>
      </x:c>
      <x:c r="L28" s="47" t="n">
        <x:v>0</x:v>
      </x:c>
      <x:c r="M28" s="47" t="n">
        <x:v>0</x:v>
      </x:c>
      <x:c r="N28" s="47" t="n">
        <x:v>0</x:v>
      </x:c>
      <x:c r="O28" s="47" t="n">
        <x:v>0</x:v>
      </x:c>
      <x:c r="P28" s="47" t="n">
        <x:v>0</x:v>
      </x:c>
      <x:c r="Q28" s="47" t="n">
        <x:v>0</x:v>
      </x:c>
      <x:c r="R28" s="47" t="n">
        <x:v>0</x:v>
      </x:c>
      <x:c r="S28" s="40" t="n">
        <x:f>SUM(H28:R28)</x:f>
        <x:v>0</x:v>
      </x:c>
      <x:c r="T28" s="35" t="str">
        <x:f>IF(B28="veille-03","BLOCKED",IF(I28=0,"NEEDS QUOTE","COMPLETE"))</x:f>
        <x:v>NEEDS QUOTE</x:v>
      </x:c>
    </x:row>
    <x:row r="29" ht="22" customHeight="1">
      <x:c r="A29" s="35" t="str">
        <x:v>Supplier B</x:v>
      </x:c>
      <x:c r="B29" s="35" t="str">
        <x:v>portee-02</x:v>
      </x:c>
      <x:c r="C29" s="35" t="str">
        <x:v>rotomoulded-lldpe</x:v>
      </x:c>
      <x:c r="D29" s="46" t="n">
        <x:v>250</x:v>
      </x:c>
      <x:c r="E29" s="47" t="n">
        <x:v>0</x:v>
      </x:c>
      <x:c r="F29" s="47" t="n">
        <x:v>0</x:v>
      </x:c>
      <x:c r="G29" s="40" t="n">
        <x:f>'Assumptions'!$B$12</x:f>
        <x:v>500</x:v>
      </x:c>
      <x:c r="H29" s="40" t="n">
        <x:f>IF(G29=0,0,(E29+F29)/G29)</x:f>
        <x:v>0</x:v>
      </x:c>
      <x:c r="I29" s="47" t="n">
        <x:v>0</x:v>
      </x:c>
      <x:c r="J29" s="47" t="n">
        <x:v>0</x:v>
      </x:c>
      <x:c r="K29" s="47" t="n">
        <x:v>0</x:v>
      </x:c>
      <x:c r="L29" s="47" t="n">
        <x:v>0</x:v>
      </x:c>
      <x:c r="M29" s="47" t="n">
        <x:v>0</x:v>
      </x:c>
      <x:c r="N29" s="47" t="n">
        <x:v>0</x:v>
      </x:c>
      <x:c r="O29" s="47" t="n">
        <x:v>0</x:v>
      </x:c>
      <x:c r="P29" s="47" t="n">
        <x:v>0</x:v>
      </x:c>
      <x:c r="Q29" s="47" t="n">
        <x:v>0</x:v>
      </x:c>
      <x:c r="R29" s="47" t="n">
        <x:v>0</x:v>
      </x:c>
      <x:c r="S29" s="40" t="n">
        <x:f>SUM(H29:R29)</x:f>
        <x:v>0</x:v>
      </x:c>
      <x:c r="T29" s="35" t="str">
        <x:f>IF(B29="veille-03","BLOCKED",IF(I29=0,"NEEDS QUOTE","COMPLETE"))</x:f>
        <x:v>NEEDS QUOTE</x:v>
      </x:c>
    </x:row>
    <x:row r="30" ht="22" customHeight="1">
      <x:c r="A30" s="35" t="str">
        <x:v>Supplier B</x:v>
      </x:c>
      <x:c r="B30" s="35" t="str">
        <x:v>portee-02</x:v>
      </x:c>
      <x:c r="C30" s="35" t="str">
        <x:v>rotomoulded-lldpe</x:v>
      </x:c>
      <x:c r="D30" s="46" t="n">
        <x:v>500</x:v>
      </x:c>
      <x:c r="E30" s="47" t="n">
        <x:v>0</x:v>
      </x:c>
      <x:c r="F30" s="47" t="n">
        <x:v>0</x:v>
      </x:c>
      <x:c r="G30" s="40" t="n">
        <x:f>'Assumptions'!$B$12</x:f>
        <x:v>500</x:v>
      </x:c>
      <x:c r="H30" s="40" t="n">
        <x:f>IF(G30=0,0,(E30+F30)/G30)</x:f>
        <x:v>0</x:v>
      </x:c>
      <x:c r="I30" s="47" t="n">
        <x:v>0</x:v>
      </x:c>
      <x:c r="J30" s="47" t="n">
        <x:v>0</x:v>
      </x:c>
      <x:c r="K30" s="47" t="n">
        <x:v>0</x:v>
      </x:c>
      <x:c r="L30" s="47" t="n">
        <x:v>0</x:v>
      </x:c>
      <x:c r="M30" s="47" t="n">
        <x:v>0</x:v>
      </x:c>
      <x:c r="N30" s="47" t="n">
        <x:v>0</x:v>
      </x:c>
      <x:c r="O30" s="47" t="n">
        <x:v>0</x:v>
      </x:c>
      <x:c r="P30" s="47" t="n">
        <x:v>0</x:v>
      </x:c>
      <x:c r="Q30" s="47" t="n">
        <x:v>0</x:v>
      </x:c>
      <x:c r="R30" s="47" t="n">
        <x:v>0</x:v>
      </x:c>
      <x:c r="S30" s="40" t="n">
        <x:f>SUM(H30:R30)</x:f>
        <x:v>0</x:v>
      </x:c>
      <x:c r="T30" s="35" t="str">
        <x:f>IF(B30="veille-03","BLOCKED",IF(I30=0,"NEEDS QUOTE","COMPLETE"))</x:f>
        <x:v>NEEDS QUOTE</x:v>
      </x:c>
    </x:row>
    <x:row r="31" ht="22" customHeight="1">
      <x:c r="A31" s="35" t="str">
        <x:v>Supplier B</x:v>
      </x:c>
      <x:c r="B31" s="35" t="str">
        <x:v>veille-03</x:v>
      </x:c>
      <x:c r="C31" s="35" t="str">
        <x:v>rotomoulded-lldpe</x:v>
      </x:c>
      <x:c r="D31" s="46" t="n">
        <x:v>10</x:v>
      </x:c>
      <x:c r="E31" s="47" t="n">
        <x:v>0</x:v>
      </x:c>
      <x:c r="F31" s="47" t="n">
        <x:v>0</x:v>
      </x:c>
      <x:c r="G31" s="40" t="n">
        <x:f>'Assumptions'!$B$12</x:f>
        <x:v>500</x:v>
      </x:c>
      <x:c r="H31" s="40" t="n">
        <x:f>IF(G31=0,0,(E31+F31)/G31)</x:f>
        <x:v>0</x:v>
      </x:c>
      <x:c r="I31" s="47" t="n">
        <x:v>0</x:v>
      </x:c>
      <x:c r="J31" s="47" t="n">
        <x:v>0</x:v>
      </x:c>
      <x:c r="K31" s="47" t="n">
        <x:v>0</x:v>
      </x:c>
      <x:c r="L31" s="47" t="n">
        <x:v>0</x:v>
      </x:c>
      <x:c r="M31" s="47" t="n">
        <x:v>0</x:v>
      </x:c>
      <x:c r="N31" s="47" t="n">
        <x:v>0</x:v>
      </x:c>
      <x:c r="O31" s="47" t="n">
        <x:v>0</x:v>
      </x:c>
      <x:c r="P31" s="47" t="n">
        <x:v>0</x:v>
      </x:c>
      <x:c r="Q31" s="47" t="n">
        <x:v>0</x:v>
      </x:c>
      <x:c r="R31" s="47" t="n">
        <x:v>0</x:v>
      </x:c>
      <x:c r="S31" s="40" t="n">
        <x:f>SUM(H31:R31)</x:f>
        <x:v>0</x:v>
      </x:c>
      <x:c r="T31" s="35" t="str">
        <x:f>IF(B31="veille-03","BLOCKED",IF(I31=0,"NEEDS QUOTE","COMPLETE"))</x:f>
        <x:v>BLOCKED</x:v>
      </x:c>
    </x:row>
    <x:row r="32" ht="22" customHeight="1">
      <x:c r="A32" s="35" t="str">
        <x:v>Supplier B</x:v>
      </x:c>
      <x:c r="B32" s="35" t="str">
        <x:v>veille-03</x:v>
      </x:c>
      <x:c r="C32" s="35" t="str">
        <x:v>rotomoulded-lldpe</x:v>
      </x:c>
      <x:c r="D32" s="46" t="n">
        <x:v>50</x:v>
      </x:c>
      <x:c r="E32" s="47" t="n">
        <x:v>0</x:v>
      </x:c>
      <x:c r="F32" s="47" t="n">
        <x:v>0</x:v>
      </x:c>
      <x:c r="G32" s="40" t="n">
        <x:f>'Assumptions'!$B$12</x:f>
        <x:v>500</x:v>
      </x:c>
      <x:c r="H32" s="40" t="n">
        <x:f>IF(G32=0,0,(E32+F32)/G32)</x:f>
        <x:v>0</x:v>
      </x:c>
      <x:c r="I32" s="47" t="n">
        <x:v>0</x:v>
      </x:c>
      <x:c r="J32" s="47" t="n">
        <x:v>0</x:v>
      </x:c>
      <x:c r="K32" s="47" t="n">
        <x:v>0</x:v>
      </x:c>
      <x:c r="L32" s="47" t="n">
        <x:v>0</x:v>
      </x:c>
      <x:c r="M32" s="47" t="n">
        <x:v>0</x:v>
      </x:c>
      <x:c r="N32" s="47" t="n">
        <x:v>0</x:v>
      </x:c>
      <x:c r="O32" s="47" t="n">
        <x:v>0</x:v>
      </x:c>
      <x:c r="P32" s="47" t="n">
        <x:v>0</x:v>
      </x:c>
      <x:c r="Q32" s="47" t="n">
        <x:v>0</x:v>
      </x:c>
      <x:c r="R32" s="47" t="n">
        <x:v>0</x:v>
      </x:c>
      <x:c r="S32" s="40" t="n">
        <x:f>SUM(H32:R32)</x:f>
        <x:v>0</x:v>
      </x:c>
      <x:c r="T32" s="35" t="str">
        <x:f>IF(B32="veille-03","BLOCKED",IF(I32=0,"NEEDS QUOTE","COMPLETE"))</x:f>
        <x:v>BLOCKED</x:v>
      </x:c>
    </x:row>
    <x:row r="33" ht="22" customHeight="1">
      <x:c r="A33" s="35" t="str">
        <x:v>Supplier B</x:v>
      </x:c>
      <x:c r="B33" s="35" t="str">
        <x:v>veille-03</x:v>
      </x:c>
      <x:c r="C33" s="35" t="str">
        <x:v>rotomoulded-lldpe</x:v>
      </x:c>
      <x:c r="D33" s="46" t="n">
        <x:v>100</x:v>
      </x:c>
      <x:c r="E33" s="47" t="n">
        <x:v>0</x:v>
      </x:c>
      <x:c r="F33" s="47" t="n">
        <x:v>0</x:v>
      </x:c>
      <x:c r="G33" s="40" t="n">
        <x:f>'Assumptions'!$B$12</x:f>
        <x:v>500</x:v>
      </x:c>
      <x:c r="H33" s="40" t="n">
        <x:f>IF(G33=0,0,(E33+F33)/G33)</x:f>
        <x:v>0</x:v>
      </x:c>
      <x:c r="I33" s="47" t="n">
        <x:v>0</x:v>
      </x:c>
      <x:c r="J33" s="47" t="n">
        <x:v>0</x:v>
      </x:c>
      <x:c r="K33" s="47" t="n">
        <x:v>0</x:v>
      </x:c>
      <x:c r="L33" s="47" t="n">
        <x:v>0</x:v>
      </x:c>
      <x:c r="M33" s="47" t="n">
        <x:v>0</x:v>
      </x:c>
      <x:c r="N33" s="47" t="n">
        <x:v>0</x:v>
      </x:c>
      <x:c r="O33" s="47" t="n">
        <x:v>0</x:v>
      </x:c>
      <x:c r="P33" s="47" t="n">
        <x:v>0</x:v>
      </x:c>
      <x:c r="Q33" s="47" t="n">
        <x:v>0</x:v>
      </x:c>
      <x:c r="R33" s="47" t="n">
        <x:v>0</x:v>
      </x:c>
      <x:c r="S33" s="40" t="n">
        <x:f>SUM(H33:R33)</x:f>
        <x:v>0</x:v>
      </x:c>
      <x:c r="T33" s="35" t="str">
        <x:f>IF(B33="veille-03","BLOCKED",IF(I33=0,"NEEDS QUOTE","COMPLETE"))</x:f>
        <x:v>BLOCKED</x:v>
      </x:c>
    </x:row>
    <x:row r="34" ht="22" customHeight="1">
      <x:c r="A34" s="35" t="str">
        <x:v>Supplier B</x:v>
      </x:c>
      <x:c r="B34" s="35" t="str">
        <x:v>veille-03</x:v>
      </x:c>
      <x:c r="C34" s="35" t="str">
        <x:v>rotomoulded-lldpe</x:v>
      </x:c>
      <x:c r="D34" s="46" t="n">
        <x:v>250</x:v>
      </x:c>
      <x:c r="E34" s="47" t="n">
        <x:v>0</x:v>
      </x:c>
      <x:c r="F34" s="47" t="n">
        <x:v>0</x:v>
      </x:c>
      <x:c r="G34" s="40" t="n">
        <x:f>'Assumptions'!$B$12</x:f>
        <x:v>500</x:v>
      </x:c>
      <x:c r="H34" s="40" t="n">
        <x:f>IF(G34=0,0,(E34+F34)/G34)</x:f>
        <x:v>0</x:v>
      </x:c>
      <x:c r="I34" s="47" t="n">
        <x:v>0</x:v>
      </x:c>
      <x:c r="J34" s="47" t="n">
        <x:v>0</x:v>
      </x:c>
      <x:c r="K34" s="47" t="n">
        <x:v>0</x:v>
      </x:c>
      <x:c r="L34" s="47" t="n">
        <x:v>0</x:v>
      </x:c>
      <x:c r="M34" s="47" t="n">
        <x:v>0</x:v>
      </x:c>
      <x:c r="N34" s="47" t="n">
        <x:v>0</x:v>
      </x:c>
      <x:c r="O34" s="47" t="n">
        <x:v>0</x:v>
      </x:c>
      <x:c r="P34" s="47" t="n">
        <x:v>0</x:v>
      </x:c>
      <x:c r="Q34" s="47" t="n">
        <x:v>0</x:v>
      </x:c>
      <x:c r="R34" s="47" t="n">
        <x:v>0</x:v>
      </x:c>
      <x:c r="S34" s="40" t="n">
        <x:f>SUM(H34:R34)</x:f>
        <x:v>0</x:v>
      </x:c>
      <x:c r="T34" s="35" t="str">
        <x:f>IF(B34="veille-03","BLOCKED",IF(I34=0,"NEEDS QUOTE","COMPLETE"))</x:f>
        <x:v>BLOCKED</x:v>
      </x:c>
    </x:row>
    <x:row r="35" ht="22" customHeight="1">
      <x:c r="A35" s="35" t="str">
        <x:v>Supplier B</x:v>
      </x:c>
      <x:c r="B35" s="35" t="str">
        <x:v>veille-03</x:v>
      </x:c>
      <x:c r="C35" s="35" t="str">
        <x:v>rotomoulded-lldpe</x:v>
      </x:c>
      <x:c r="D35" s="46" t="n">
        <x:v>500</x:v>
      </x:c>
      <x:c r="E35" s="47" t="n">
        <x:v>0</x:v>
      </x:c>
      <x:c r="F35" s="47" t="n">
        <x:v>0</x:v>
      </x:c>
      <x:c r="G35" s="40" t="n">
        <x:f>'Assumptions'!$B$12</x:f>
        <x:v>500</x:v>
      </x:c>
      <x:c r="H35" s="40" t="n">
        <x:f>IF(G35=0,0,(E35+F35)/G35)</x:f>
        <x:v>0</x:v>
      </x:c>
      <x:c r="I35" s="47" t="n">
        <x:v>0</x:v>
      </x:c>
      <x:c r="J35" s="47" t="n">
        <x:v>0</x:v>
      </x:c>
      <x:c r="K35" s="47" t="n">
        <x:v>0</x:v>
      </x:c>
      <x:c r="L35" s="47" t="n">
        <x:v>0</x:v>
      </x:c>
      <x:c r="M35" s="47" t="n">
        <x:v>0</x:v>
      </x:c>
      <x:c r="N35" s="47" t="n">
        <x:v>0</x:v>
      </x:c>
      <x:c r="O35" s="47" t="n">
        <x:v>0</x:v>
      </x:c>
      <x:c r="P35" s="47" t="n">
        <x:v>0</x:v>
      </x:c>
      <x:c r="Q35" s="47" t="n">
        <x:v>0</x:v>
      </x:c>
      <x:c r="R35" s="47" t="n">
        <x:v>0</x:v>
      </x:c>
      <x:c r="S35" s="40" t="n">
        <x:f>SUM(H35:R35)</x:f>
        <x:v>0</x:v>
      </x:c>
      <x:c r="T35" s="35" t="str">
        <x:f>IF(B35="veille-03","BLOCKED",IF(I35=0,"NEEDS QUOTE","COMPLETE"))</x:f>
        <x:v>BLOCKED</x:v>
      </x:c>
    </x:row>
    <x:row r="36" ht="22" customHeight="1">
      <x:c r="A36" s="35" t="str">
        <x:v>Supplier C</x:v>
      </x:c>
      <x:c r="B36" s="35" t="str">
        <x:v>seuil-01</x:v>
      </x:c>
      <x:c r="C36" s="35" t="str">
        <x:v>rotomoulded-lldpe</x:v>
      </x:c>
      <x:c r="D36" s="46" t="n">
        <x:v>10</x:v>
      </x:c>
      <x:c r="E36" s="47" t="n">
        <x:v>0</x:v>
      </x:c>
      <x:c r="F36" s="47" t="n">
        <x:v>0</x:v>
      </x:c>
      <x:c r="G36" s="40" t="n">
        <x:f>'Assumptions'!$B$12</x:f>
        <x:v>500</x:v>
      </x:c>
      <x:c r="H36" s="40" t="n">
        <x:f>IF(G36=0,0,(E36+F36)/G36)</x:f>
        <x:v>0</x:v>
      </x:c>
      <x:c r="I36" s="47" t="n">
        <x:v>0</x:v>
      </x:c>
      <x:c r="J36" s="47" t="n">
        <x:v>0</x:v>
      </x:c>
      <x:c r="K36" s="47" t="n">
        <x:v>0</x:v>
      </x:c>
      <x:c r="L36" s="47" t="n">
        <x:v>0</x:v>
      </x:c>
      <x:c r="M36" s="47" t="n">
        <x:v>0</x:v>
      </x:c>
      <x:c r="N36" s="47" t="n">
        <x:v>0</x:v>
      </x:c>
      <x:c r="O36" s="47" t="n">
        <x:v>0</x:v>
      </x:c>
      <x:c r="P36" s="47" t="n">
        <x:v>0</x:v>
      </x:c>
      <x:c r="Q36" s="47" t="n">
        <x:v>0</x:v>
      </x:c>
      <x:c r="R36" s="47" t="n">
        <x:v>0</x:v>
      </x:c>
      <x:c r="S36" s="40" t="n">
        <x:f>SUM(H36:R36)</x:f>
        <x:v>0</x:v>
      </x:c>
      <x:c r="T36" s="35" t="str">
        <x:f>IF(B36="veille-03","BLOCKED",IF(I36=0,"NEEDS QUOTE","COMPLETE"))</x:f>
        <x:v>NEEDS QUOTE</x:v>
      </x:c>
    </x:row>
    <x:row r="37" ht="22" customHeight="1">
      <x:c r="A37" s="35" t="str">
        <x:v>Supplier C</x:v>
      </x:c>
      <x:c r="B37" s="35" t="str">
        <x:v>seuil-01</x:v>
      </x:c>
      <x:c r="C37" s="35" t="str">
        <x:v>rotomoulded-lldpe</x:v>
      </x:c>
      <x:c r="D37" s="46" t="n">
        <x:v>50</x:v>
      </x:c>
      <x:c r="E37" s="47" t="n">
        <x:v>0</x:v>
      </x:c>
      <x:c r="F37" s="47" t="n">
        <x:v>0</x:v>
      </x:c>
      <x:c r="G37" s="40" t="n">
        <x:f>'Assumptions'!$B$12</x:f>
        <x:v>500</x:v>
      </x:c>
      <x:c r="H37" s="40" t="n">
        <x:f>IF(G37=0,0,(E37+F37)/G37)</x:f>
        <x:v>0</x:v>
      </x:c>
      <x:c r="I37" s="47" t="n">
        <x:v>0</x:v>
      </x:c>
      <x:c r="J37" s="47" t="n">
        <x:v>0</x:v>
      </x:c>
      <x:c r="K37" s="47" t="n">
        <x:v>0</x:v>
      </x:c>
      <x:c r="L37" s="47" t="n">
        <x:v>0</x:v>
      </x:c>
      <x:c r="M37" s="47" t="n">
        <x:v>0</x:v>
      </x:c>
      <x:c r="N37" s="47" t="n">
        <x:v>0</x:v>
      </x:c>
      <x:c r="O37" s="47" t="n">
        <x:v>0</x:v>
      </x:c>
      <x:c r="P37" s="47" t="n">
        <x:v>0</x:v>
      </x:c>
      <x:c r="Q37" s="47" t="n">
        <x:v>0</x:v>
      </x:c>
      <x:c r="R37" s="47" t="n">
        <x:v>0</x:v>
      </x:c>
      <x:c r="S37" s="40" t="n">
        <x:f>SUM(H37:R37)</x:f>
        <x:v>0</x:v>
      </x:c>
      <x:c r="T37" s="35" t="str">
        <x:f>IF(B37="veille-03","BLOCKED",IF(I37=0,"NEEDS QUOTE","COMPLETE"))</x:f>
        <x:v>NEEDS QUOTE</x:v>
      </x:c>
    </x:row>
    <x:row r="38" ht="22" customHeight="1">
      <x:c r="A38" s="35" t="str">
        <x:v>Supplier C</x:v>
      </x:c>
      <x:c r="B38" s="35" t="str">
        <x:v>seuil-01</x:v>
      </x:c>
      <x:c r="C38" s="35" t="str">
        <x:v>rotomoulded-lldpe</x:v>
      </x:c>
      <x:c r="D38" s="46" t="n">
        <x:v>100</x:v>
      </x:c>
      <x:c r="E38" s="47" t="n">
        <x:v>0</x:v>
      </x:c>
      <x:c r="F38" s="47" t="n">
        <x:v>0</x:v>
      </x:c>
      <x:c r="G38" s="40" t="n">
        <x:f>'Assumptions'!$B$12</x:f>
        <x:v>500</x:v>
      </x:c>
      <x:c r="H38" s="40" t="n">
        <x:f>IF(G38=0,0,(E38+F38)/G38)</x:f>
        <x:v>0</x:v>
      </x:c>
      <x:c r="I38" s="47" t="n">
        <x:v>0</x:v>
      </x:c>
      <x:c r="J38" s="47" t="n">
        <x:v>0</x:v>
      </x:c>
      <x:c r="K38" s="47" t="n">
        <x:v>0</x:v>
      </x:c>
      <x:c r="L38" s="47" t="n">
        <x:v>0</x:v>
      </x:c>
      <x:c r="M38" s="47" t="n">
        <x:v>0</x:v>
      </x:c>
      <x:c r="N38" s="47" t="n">
        <x:v>0</x:v>
      </x:c>
      <x:c r="O38" s="47" t="n">
        <x:v>0</x:v>
      </x:c>
      <x:c r="P38" s="47" t="n">
        <x:v>0</x:v>
      </x:c>
      <x:c r="Q38" s="47" t="n">
        <x:v>0</x:v>
      </x:c>
      <x:c r="R38" s="47" t="n">
        <x:v>0</x:v>
      </x:c>
      <x:c r="S38" s="40" t="n">
        <x:f>SUM(H38:R38)</x:f>
        <x:v>0</x:v>
      </x:c>
      <x:c r="T38" s="35" t="str">
        <x:f>IF(B38="veille-03","BLOCKED",IF(I38=0,"NEEDS QUOTE","COMPLETE"))</x:f>
        <x:v>NEEDS QUOTE</x:v>
      </x:c>
    </x:row>
    <x:row r="39" ht="22" customHeight="1">
      <x:c r="A39" s="35" t="str">
        <x:v>Supplier C</x:v>
      </x:c>
      <x:c r="B39" s="35" t="str">
        <x:v>seuil-01</x:v>
      </x:c>
      <x:c r="C39" s="35" t="str">
        <x:v>rotomoulded-lldpe</x:v>
      </x:c>
      <x:c r="D39" s="46" t="n">
        <x:v>250</x:v>
      </x:c>
      <x:c r="E39" s="47" t="n">
        <x:v>0</x:v>
      </x:c>
      <x:c r="F39" s="47" t="n">
        <x:v>0</x:v>
      </x:c>
      <x:c r="G39" s="40" t="n">
        <x:f>'Assumptions'!$B$12</x:f>
        <x:v>500</x:v>
      </x:c>
      <x:c r="H39" s="40" t="n">
        <x:f>IF(G39=0,0,(E39+F39)/G39)</x:f>
        <x:v>0</x:v>
      </x:c>
      <x:c r="I39" s="47" t="n">
        <x:v>0</x:v>
      </x:c>
      <x:c r="J39" s="47" t="n">
        <x:v>0</x:v>
      </x:c>
      <x:c r="K39" s="47" t="n">
        <x:v>0</x:v>
      </x:c>
      <x:c r="L39" s="47" t="n">
        <x:v>0</x:v>
      </x:c>
      <x:c r="M39" s="47" t="n">
        <x:v>0</x:v>
      </x:c>
      <x:c r="N39" s="47" t="n">
        <x:v>0</x:v>
      </x:c>
      <x:c r="O39" s="47" t="n">
        <x:v>0</x:v>
      </x:c>
      <x:c r="P39" s="47" t="n">
        <x:v>0</x:v>
      </x:c>
      <x:c r="Q39" s="47" t="n">
        <x:v>0</x:v>
      </x:c>
      <x:c r="R39" s="47" t="n">
        <x:v>0</x:v>
      </x:c>
      <x:c r="S39" s="40" t="n">
        <x:f>SUM(H39:R39)</x:f>
        <x:v>0</x:v>
      </x:c>
      <x:c r="T39" s="35" t="str">
        <x:f>IF(B39="veille-03","BLOCKED",IF(I39=0,"NEEDS QUOTE","COMPLETE"))</x:f>
        <x:v>NEEDS QUOTE</x:v>
      </x:c>
    </x:row>
    <x:row r="40" ht="22" customHeight="1">
      <x:c r="A40" s="35" t="str">
        <x:v>Supplier C</x:v>
      </x:c>
      <x:c r="B40" s="35" t="str">
        <x:v>seuil-01</x:v>
      </x:c>
      <x:c r="C40" s="35" t="str">
        <x:v>rotomoulded-lldpe</x:v>
      </x:c>
      <x:c r="D40" s="46" t="n">
        <x:v>500</x:v>
      </x:c>
      <x:c r="E40" s="47" t="n">
        <x:v>0</x:v>
      </x:c>
      <x:c r="F40" s="47" t="n">
        <x:v>0</x:v>
      </x:c>
      <x:c r="G40" s="40" t="n">
        <x:f>'Assumptions'!$B$12</x:f>
        <x:v>500</x:v>
      </x:c>
      <x:c r="H40" s="40" t="n">
        <x:f>IF(G40=0,0,(E40+F40)/G40)</x:f>
        <x:v>0</x:v>
      </x:c>
      <x:c r="I40" s="47" t="n">
        <x:v>0</x:v>
      </x:c>
      <x:c r="J40" s="47" t="n">
        <x:v>0</x:v>
      </x:c>
      <x:c r="K40" s="47" t="n">
        <x:v>0</x:v>
      </x:c>
      <x:c r="L40" s="47" t="n">
        <x:v>0</x:v>
      </x:c>
      <x:c r="M40" s="47" t="n">
        <x:v>0</x:v>
      </x:c>
      <x:c r="N40" s="47" t="n">
        <x:v>0</x:v>
      </x:c>
      <x:c r="O40" s="47" t="n">
        <x:v>0</x:v>
      </x:c>
      <x:c r="P40" s="47" t="n">
        <x:v>0</x:v>
      </x:c>
      <x:c r="Q40" s="47" t="n">
        <x:v>0</x:v>
      </x:c>
      <x:c r="R40" s="47" t="n">
        <x:v>0</x:v>
      </x:c>
      <x:c r="S40" s="40" t="n">
        <x:f>SUM(H40:R40)</x:f>
        <x:v>0</x:v>
      </x:c>
      <x:c r="T40" s="35" t="str">
        <x:f>IF(B40="veille-03","BLOCKED",IF(I40=0,"NEEDS QUOTE","COMPLETE"))</x:f>
        <x:v>NEEDS QUOTE</x:v>
      </x:c>
    </x:row>
    <x:row r="41" ht="22" customHeight="1">
      <x:c r="A41" s="35" t="str">
        <x:v>Supplier C</x:v>
      </x:c>
      <x:c r="B41" s="35" t="str">
        <x:v>portee-02</x:v>
      </x:c>
      <x:c r="C41" s="35" t="str">
        <x:v>rotomoulded-lldpe</x:v>
      </x:c>
      <x:c r="D41" s="46" t="n">
        <x:v>10</x:v>
      </x:c>
      <x:c r="E41" s="47" t="n">
        <x:v>0</x:v>
      </x:c>
      <x:c r="F41" s="47" t="n">
        <x:v>0</x:v>
      </x:c>
      <x:c r="G41" s="40" t="n">
        <x:f>'Assumptions'!$B$12</x:f>
        <x:v>500</x:v>
      </x:c>
      <x:c r="H41" s="40" t="n">
        <x:f>IF(G41=0,0,(E41+F41)/G41)</x:f>
        <x:v>0</x:v>
      </x:c>
      <x:c r="I41" s="47" t="n">
        <x:v>0</x:v>
      </x:c>
      <x:c r="J41" s="47" t="n">
        <x:v>0</x:v>
      </x:c>
      <x:c r="K41" s="47" t="n">
        <x:v>0</x:v>
      </x:c>
      <x:c r="L41" s="47" t="n">
        <x:v>0</x:v>
      </x:c>
      <x:c r="M41" s="47" t="n">
        <x:v>0</x:v>
      </x:c>
      <x:c r="N41" s="47" t="n">
        <x:v>0</x:v>
      </x:c>
      <x:c r="O41" s="47" t="n">
        <x:v>0</x:v>
      </x:c>
      <x:c r="P41" s="47" t="n">
        <x:v>0</x:v>
      </x:c>
      <x:c r="Q41" s="47" t="n">
        <x:v>0</x:v>
      </x:c>
      <x:c r="R41" s="47" t="n">
        <x:v>0</x:v>
      </x:c>
      <x:c r="S41" s="40" t="n">
        <x:f>SUM(H41:R41)</x:f>
        <x:v>0</x:v>
      </x:c>
      <x:c r="T41" s="35" t="str">
        <x:f>IF(B41="veille-03","BLOCKED",IF(I41=0,"NEEDS QUOTE","COMPLETE"))</x:f>
        <x:v>NEEDS QUOTE</x:v>
      </x:c>
    </x:row>
    <x:row r="42" ht="22" customHeight="1">
      <x:c r="A42" s="35" t="str">
        <x:v>Supplier C</x:v>
      </x:c>
      <x:c r="B42" s="35" t="str">
        <x:v>portee-02</x:v>
      </x:c>
      <x:c r="C42" s="35" t="str">
        <x:v>rotomoulded-lldpe</x:v>
      </x:c>
      <x:c r="D42" s="46" t="n">
        <x:v>50</x:v>
      </x:c>
      <x:c r="E42" s="47" t="n">
        <x:v>0</x:v>
      </x:c>
      <x:c r="F42" s="47" t="n">
        <x:v>0</x:v>
      </x:c>
      <x:c r="G42" s="40" t="n">
        <x:f>'Assumptions'!$B$12</x:f>
        <x:v>500</x:v>
      </x:c>
      <x:c r="H42" s="40" t="n">
        <x:f>IF(G42=0,0,(E42+F42)/G42)</x:f>
        <x:v>0</x:v>
      </x:c>
      <x:c r="I42" s="47" t="n">
        <x:v>0</x:v>
      </x:c>
      <x:c r="J42" s="47" t="n">
        <x:v>0</x:v>
      </x:c>
      <x:c r="K42" s="47" t="n">
        <x:v>0</x:v>
      </x:c>
      <x:c r="L42" s="47" t="n">
        <x:v>0</x:v>
      </x:c>
      <x:c r="M42" s="47" t="n">
        <x:v>0</x:v>
      </x:c>
      <x:c r="N42" s="47" t="n">
        <x:v>0</x:v>
      </x:c>
      <x:c r="O42" s="47" t="n">
        <x:v>0</x:v>
      </x:c>
      <x:c r="P42" s="47" t="n">
        <x:v>0</x:v>
      </x:c>
      <x:c r="Q42" s="47" t="n">
        <x:v>0</x:v>
      </x:c>
      <x:c r="R42" s="47" t="n">
        <x:v>0</x:v>
      </x:c>
      <x:c r="S42" s="40" t="n">
        <x:f>SUM(H42:R42)</x:f>
        <x:v>0</x:v>
      </x:c>
      <x:c r="T42" s="35" t="str">
        <x:f>IF(B42="veille-03","BLOCKED",IF(I42=0,"NEEDS QUOTE","COMPLETE"))</x:f>
        <x:v>NEEDS QUOTE</x:v>
      </x:c>
    </x:row>
    <x:row r="43" ht="22" customHeight="1">
      <x:c r="A43" s="35" t="str">
        <x:v>Supplier C</x:v>
      </x:c>
      <x:c r="B43" s="35" t="str">
        <x:v>portee-02</x:v>
      </x:c>
      <x:c r="C43" s="35" t="str">
        <x:v>rotomoulded-lldpe</x:v>
      </x:c>
      <x:c r="D43" s="46" t="n">
        <x:v>100</x:v>
      </x:c>
      <x:c r="E43" s="47" t="n">
        <x:v>0</x:v>
      </x:c>
      <x:c r="F43" s="47" t="n">
        <x:v>0</x:v>
      </x:c>
      <x:c r="G43" s="40" t="n">
        <x:f>'Assumptions'!$B$12</x:f>
        <x:v>500</x:v>
      </x:c>
      <x:c r="H43" s="40" t="n">
        <x:f>IF(G43=0,0,(E43+F43)/G43)</x:f>
        <x:v>0</x:v>
      </x:c>
      <x:c r="I43" s="47" t="n">
        <x:v>0</x:v>
      </x:c>
      <x:c r="J43" s="47" t="n">
        <x:v>0</x:v>
      </x:c>
      <x:c r="K43" s="47" t="n">
        <x:v>0</x:v>
      </x:c>
      <x:c r="L43" s="47" t="n">
        <x:v>0</x:v>
      </x:c>
      <x:c r="M43" s="47" t="n">
        <x:v>0</x:v>
      </x:c>
      <x:c r="N43" s="47" t="n">
        <x:v>0</x:v>
      </x:c>
      <x:c r="O43" s="47" t="n">
        <x:v>0</x:v>
      </x:c>
      <x:c r="P43" s="47" t="n">
        <x:v>0</x:v>
      </x:c>
      <x:c r="Q43" s="47" t="n">
        <x:v>0</x:v>
      </x:c>
      <x:c r="R43" s="47" t="n">
        <x:v>0</x:v>
      </x:c>
      <x:c r="S43" s="40" t="n">
        <x:f>SUM(H43:R43)</x:f>
        <x:v>0</x:v>
      </x:c>
      <x:c r="T43" s="35" t="str">
        <x:f>IF(B43="veille-03","BLOCKED",IF(I43=0,"NEEDS QUOTE","COMPLETE"))</x:f>
        <x:v>NEEDS QUOTE</x:v>
      </x:c>
    </x:row>
    <x:row r="44" ht="22" customHeight="1">
      <x:c r="A44" s="35" t="str">
        <x:v>Supplier C</x:v>
      </x:c>
      <x:c r="B44" s="35" t="str">
        <x:v>portee-02</x:v>
      </x:c>
      <x:c r="C44" s="35" t="str">
        <x:v>rotomoulded-lldpe</x:v>
      </x:c>
      <x:c r="D44" s="46" t="n">
        <x:v>250</x:v>
      </x:c>
      <x:c r="E44" s="47" t="n">
        <x:v>0</x:v>
      </x:c>
      <x:c r="F44" s="47" t="n">
        <x:v>0</x:v>
      </x:c>
      <x:c r="G44" s="40" t="n">
        <x:f>'Assumptions'!$B$12</x:f>
        <x:v>500</x:v>
      </x:c>
      <x:c r="H44" s="40" t="n">
        <x:f>IF(G44=0,0,(E44+F44)/G44)</x:f>
        <x:v>0</x:v>
      </x:c>
      <x:c r="I44" s="47" t="n">
        <x:v>0</x:v>
      </x:c>
      <x:c r="J44" s="47" t="n">
        <x:v>0</x:v>
      </x:c>
      <x:c r="K44" s="47" t="n">
        <x:v>0</x:v>
      </x:c>
      <x:c r="L44" s="47" t="n">
        <x:v>0</x:v>
      </x:c>
      <x:c r="M44" s="47" t="n">
        <x:v>0</x:v>
      </x:c>
      <x:c r="N44" s="47" t="n">
        <x:v>0</x:v>
      </x:c>
      <x:c r="O44" s="47" t="n">
        <x:v>0</x:v>
      </x:c>
      <x:c r="P44" s="47" t="n">
        <x:v>0</x:v>
      </x:c>
      <x:c r="Q44" s="47" t="n">
        <x:v>0</x:v>
      </x:c>
      <x:c r="R44" s="47" t="n">
        <x:v>0</x:v>
      </x:c>
      <x:c r="S44" s="40" t="n">
        <x:f>SUM(H44:R44)</x:f>
        <x:v>0</x:v>
      </x:c>
      <x:c r="T44" s="35" t="str">
        <x:f>IF(B44="veille-03","BLOCKED",IF(I44=0,"NEEDS QUOTE","COMPLETE"))</x:f>
        <x:v>NEEDS QUOTE</x:v>
      </x:c>
    </x:row>
    <x:row r="45" ht="22" customHeight="1">
      <x:c r="A45" s="35" t="str">
        <x:v>Supplier C</x:v>
      </x:c>
      <x:c r="B45" s="35" t="str">
        <x:v>portee-02</x:v>
      </x:c>
      <x:c r="C45" s="35" t="str">
        <x:v>rotomoulded-lldpe</x:v>
      </x:c>
      <x:c r="D45" s="46" t="n">
        <x:v>500</x:v>
      </x:c>
      <x:c r="E45" s="47" t="n">
        <x:v>0</x:v>
      </x:c>
      <x:c r="F45" s="47" t="n">
        <x:v>0</x:v>
      </x:c>
      <x:c r="G45" s="40" t="n">
        <x:f>'Assumptions'!$B$12</x:f>
        <x:v>500</x:v>
      </x:c>
      <x:c r="H45" s="40" t="n">
        <x:f>IF(G45=0,0,(E45+F45)/G45)</x:f>
        <x:v>0</x:v>
      </x:c>
      <x:c r="I45" s="47" t="n">
        <x:v>0</x:v>
      </x:c>
      <x:c r="J45" s="47" t="n">
        <x:v>0</x:v>
      </x:c>
      <x:c r="K45" s="47" t="n">
        <x:v>0</x:v>
      </x:c>
      <x:c r="L45" s="47" t="n">
        <x:v>0</x:v>
      </x:c>
      <x:c r="M45" s="47" t="n">
        <x:v>0</x:v>
      </x:c>
      <x:c r="N45" s="47" t="n">
        <x:v>0</x:v>
      </x:c>
      <x:c r="O45" s="47" t="n">
        <x:v>0</x:v>
      </x:c>
      <x:c r="P45" s="47" t="n">
        <x:v>0</x:v>
      </x:c>
      <x:c r="Q45" s="47" t="n">
        <x:v>0</x:v>
      </x:c>
      <x:c r="R45" s="47" t="n">
        <x:v>0</x:v>
      </x:c>
      <x:c r="S45" s="40" t="n">
        <x:f>SUM(H45:R45)</x:f>
        <x:v>0</x:v>
      </x:c>
      <x:c r="T45" s="35" t="str">
        <x:f>IF(B45="veille-03","BLOCKED",IF(I45=0,"NEEDS QUOTE","COMPLETE"))</x:f>
        <x:v>NEEDS QUOTE</x:v>
      </x:c>
    </x:row>
    <x:row r="46" ht="22" customHeight="1">
      <x:c r="A46" s="35" t="str">
        <x:v>Supplier C</x:v>
      </x:c>
      <x:c r="B46" s="35" t="str">
        <x:v>veille-03</x:v>
      </x:c>
      <x:c r="C46" s="35" t="str">
        <x:v>rotomoulded-lldpe</x:v>
      </x:c>
      <x:c r="D46" s="46" t="n">
        <x:v>10</x:v>
      </x:c>
      <x:c r="E46" s="47" t="n">
        <x:v>0</x:v>
      </x:c>
      <x:c r="F46" s="47" t="n">
        <x:v>0</x:v>
      </x:c>
      <x:c r="G46" s="40" t="n">
        <x:f>'Assumptions'!$B$12</x:f>
        <x:v>500</x:v>
      </x:c>
      <x:c r="H46" s="40" t="n">
        <x:f>IF(G46=0,0,(E46+F46)/G46)</x:f>
        <x:v>0</x:v>
      </x:c>
      <x:c r="I46" s="47" t="n">
        <x:v>0</x:v>
      </x:c>
      <x:c r="J46" s="47" t="n">
        <x:v>0</x:v>
      </x:c>
      <x:c r="K46" s="47" t="n">
        <x:v>0</x:v>
      </x:c>
      <x:c r="L46" s="47" t="n">
        <x:v>0</x:v>
      </x:c>
      <x:c r="M46" s="47" t="n">
        <x:v>0</x:v>
      </x:c>
      <x:c r="N46" s="47" t="n">
        <x:v>0</x:v>
      </x:c>
      <x:c r="O46" s="47" t="n">
        <x:v>0</x:v>
      </x:c>
      <x:c r="P46" s="47" t="n">
        <x:v>0</x:v>
      </x:c>
      <x:c r="Q46" s="47" t="n">
        <x:v>0</x:v>
      </x:c>
      <x:c r="R46" s="47" t="n">
        <x:v>0</x:v>
      </x:c>
      <x:c r="S46" s="40" t="n">
        <x:f>SUM(H46:R46)</x:f>
        <x:v>0</x:v>
      </x:c>
      <x:c r="T46" s="35" t="str">
        <x:f>IF(B46="veille-03","BLOCKED",IF(I46=0,"NEEDS QUOTE","COMPLETE"))</x:f>
        <x:v>BLOCKED</x:v>
      </x:c>
    </x:row>
    <x:row r="47" ht="22" customHeight="1">
      <x:c r="A47" s="35" t="str">
        <x:v>Supplier C</x:v>
      </x:c>
      <x:c r="B47" s="35" t="str">
        <x:v>veille-03</x:v>
      </x:c>
      <x:c r="C47" s="35" t="str">
        <x:v>rotomoulded-lldpe</x:v>
      </x:c>
      <x:c r="D47" s="46" t="n">
        <x:v>50</x:v>
      </x:c>
      <x:c r="E47" s="47" t="n">
        <x:v>0</x:v>
      </x:c>
      <x:c r="F47" s="47" t="n">
        <x:v>0</x:v>
      </x:c>
      <x:c r="G47" s="40" t="n">
        <x:f>'Assumptions'!$B$12</x:f>
        <x:v>500</x:v>
      </x:c>
      <x:c r="H47" s="40" t="n">
        <x:f>IF(G47=0,0,(E47+F47)/G47)</x:f>
        <x:v>0</x:v>
      </x:c>
      <x:c r="I47" s="47" t="n">
        <x:v>0</x:v>
      </x:c>
      <x:c r="J47" s="47" t="n">
        <x:v>0</x:v>
      </x:c>
      <x:c r="K47" s="47" t="n">
        <x:v>0</x:v>
      </x:c>
      <x:c r="L47" s="47" t="n">
        <x:v>0</x:v>
      </x:c>
      <x:c r="M47" s="47" t="n">
        <x:v>0</x:v>
      </x:c>
      <x:c r="N47" s="47" t="n">
        <x:v>0</x:v>
      </x:c>
      <x:c r="O47" s="47" t="n">
        <x:v>0</x:v>
      </x:c>
      <x:c r="P47" s="47" t="n">
        <x:v>0</x:v>
      </x:c>
      <x:c r="Q47" s="47" t="n">
        <x:v>0</x:v>
      </x:c>
      <x:c r="R47" s="47" t="n">
        <x:v>0</x:v>
      </x:c>
      <x:c r="S47" s="40" t="n">
        <x:f>SUM(H47:R47)</x:f>
        <x:v>0</x:v>
      </x:c>
      <x:c r="T47" s="35" t="str">
        <x:f>IF(B47="veille-03","BLOCKED",IF(I47=0,"NEEDS QUOTE","COMPLETE"))</x:f>
        <x:v>BLOCKED</x:v>
      </x:c>
    </x:row>
    <x:row r="48" ht="22" customHeight="1">
      <x:c r="A48" s="35" t="str">
        <x:v>Supplier C</x:v>
      </x:c>
      <x:c r="B48" s="35" t="str">
        <x:v>veille-03</x:v>
      </x:c>
      <x:c r="C48" s="35" t="str">
        <x:v>rotomoulded-lldpe</x:v>
      </x:c>
      <x:c r="D48" s="46" t="n">
        <x:v>100</x:v>
      </x:c>
      <x:c r="E48" s="47" t="n">
        <x:v>0</x:v>
      </x:c>
      <x:c r="F48" s="47" t="n">
        <x:v>0</x:v>
      </x:c>
      <x:c r="G48" s="40" t="n">
        <x:f>'Assumptions'!$B$12</x:f>
        <x:v>500</x:v>
      </x:c>
      <x:c r="H48" s="40" t="n">
        <x:f>IF(G48=0,0,(E48+F48)/G48)</x:f>
        <x:v>0</x:v>
      </x:c>
      <x:c r="I48" s="47" t="n">
        <x:v>0</x:v>
      </x:c>
      <x:c r="J48" s="47" t="n">
        <x:v>0</x:v>
      </x:c>
      <x:c r="K48" s="47" t="n">
        <x:v>0</x:v>
      </x:c>
      <x:c r="L48" s="47" t="n">
        <x:v>0</x:v>
      </x:c>
      <x:c r="M48" s="47" t="n">
        <x:v>0</x:v>
      </x:c>
      <x:c r="N48" s="47" t="n">
        <x:v>0</x:v>
      </x:c>
      <x:c r="O48" s="47" t="n">
        <x:v>0</x:v>
      </x:c>
      <x:c r="P48" s="47" t="n">
        <x:v>0</x:v>
      </x:c>
      <x:c r="Q48" s="47" t="n">
        <x:v>0</x:v>
      </x:c>
      <x:c r="R48" s="47" t="n">
        <x:v>0</x:v>
      </x:c>
      <x:c r="S48" s="40" t="n">
        <x:f>SUM(H48:R48)</x:f>
        <x:v>0</x:v>
      </x:c>
      <x:c r="T48" s="35" t="str">
        <x:f>IF(B48="veille-03","BLOCKED",IF(I48=0,"NEEDS QUOTE","COMPLETE"))</x:f>
        <x:v>BLOCKED</x:v>
      </x:c>
    </x:row>
    <x:row r="49" ht="22" customHeight="1">
      <x:c r="A49" s="35" t="str">
        <x:v>Supplier C</x:v>
      </x:c>
      <x:c r="B49" s="35" t="str">
        <x:v>veille-03</x:v>
      </x:c>
      <x:c r="C49" s="35" t="str">
        <x:v>rotomoulded-lldpe</x:v>
      </x:c>
      <x:c r="D49" s="46" t="n">
        <x:v>250</x:v>
      </x:c>
      <x:c r="E49" s="47" t="n">
        <x:v>0</x:v>
      </x:c>
      <x:c r="F49" s="47" t="n">
        <x:v>0</x:v>
      </x:c>
      <x:c r="G49" s="40" t="n">
        <x:f>'Assumptions'!$B$12</x:f>
        <x:v>500</x:v>
      </x:c>
      <x:c r="H49" s="40" t="n">
        <x:f>IF(G49=0,0,(E49+F49)/G49)</x:f>
        <x:v>0</x:v>
      </x:c>
      <x:c r="I49" s="47" t="n">
        <x:v>0</x:v>
      </x:c>
      <x:c r="J49" s="47" t="n">
        <x:v>0</x:v>
      </x:c>
      <x:c r="K49" s="47" t="n">
        <x:v>0</x:v>
      </x:c>
      <x:c r="L49" s="47" t="n">
        <x:v>0</x:v>
      </x:c>
      <x:c r="M49" s="47" t="n">
        <x:v>0</x:v>
      </x:c>
      <x:c r="N49" s="47" t="n">
        <x:v>0</x:v>
      </x:c>
      <x:c r="O49" s="47" t="n">
        <x:v>0</x:v>
      </x:c>
      <x:c r="P49" s="47" t="n">
        <x:v>0</x:v>
      </x:c>
      <x:c r="Q49" s="47" t="n">
        <x:v>0</x:v>
      </x:c>
      <x:c r="R49" s="47" t="n">
        <x:v>0</x:v>
      </x:c>
      <x:c r="S49" s="40" t="n">
        <x:f>SUM(H49:R49)</x:f>
        <x:v>0</x:v>
      </x:c>
      <x:c r="T49" s="35" t="str">
        <x:f>IF(B49="veille-03","BLOCKED",IF(I49=0,"NEEDS QUOTE","COMPLETE"))</x:f>
        <x:v>BLOCKED</x:v>
      </x:c>
    </x:row>
    <x:row r="50" ht="22" customHeight="1">
      <x:c r="A50" s="35" t="str">
        <x:v>Supplier C</x:v>
      </x:c>
      <x:c r="B50" s="35" t="str">
        <x:v>veille-03</x:v>
      </x:c>
      <x:c r="C50" s="35" t="str">
        <x:v>rotomoulded-lldpe</x:v>
      </x:c>
      <x:c r="D50" s="46" t="n">
        <x:v>500</x:v>
      </x:c>
      <x:c r="E50" s="47" t="n">
        <x:v>0</x:v>
      </x:c>
      <x:c r="F50" s="47" t="n">
        <x:v>0</x:v>
      </x:c>
      <x:c r="G50" s="40" t="n">
        <x:f>'Assumptions'!$B$12</x:f>
        <x:v>500</x:v>
      </x:c>
      <x:c r="H50" s="40" t="n">
        <x:f>IF(G50=0,0,(E50+F50)/G50)</x:f>
        <x:v>0</x:v>
      </x:c>
      <x:c r="I50" s="47" t="n">
        <x:v>0</x:v>
      </x:c>
      <x:c r="J50" s="47" t="n">
        <x:v>0</x:v>
      </x:c>
      <x:c r="K50" s="47" t="n">
        <x:v>0</x:v>
      </x:c>
      <x:c r="L50" s="47" t="n">
        <x:v>0</x:v>
      </x:c>
      <x:c r="M50" s="47" t="n">
        <x:v>0</x:v>
      </x:c>
      <x:c r="N50" s="47" t="n">
        <x:v>0</x:v>
      </x:c>
      <x:c r="O50" s="47" t="n">
        <x:v>0</x:v>
      </x:c>
      <x:c r="P50" s="47" t="n">
        <x:v>0</x:v>
      </x:c>
      <x:c r="Q50" s="47" t="n">
        <x:v>0</x:v>
      </x:c>
      <x:c r="R50" s="47" t="n">
        <x:v>0</x:v>
      </x:c>
      <x:c r="S50" s="40" t="n">
        <x:f>SUM(H50:R50)</x:f>
        <x:v>0</x:v>
      </x:c>
      <x:c r="T50" s="35" t="str">
        <x:f>IF(B50="veille-03","BLOCKED",IF(I50=0,"NEEDS QUOTE","COMPLETE"))</x:f>
        <x:v>BLOCKED</x:v>
      </x:c>
    </x:row>
  </x:sheetData>
  <x:mergeCells>
    <x:mergeCell ref="A1:T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7" hidden="0" customWidth="1"/>
    <x:col min="15" max="15" width="17" hidden="0" customWidth="1"/>
    <x:col min="16" max="16" width="44" hidden="0" customWidth="1"/>
  </x:cols>
  <x:sheetData>
    <x:row r="1" ht="30" customHeight="1">
      <x:c r="A1" s="3" t="str">
        <x:v>Supplier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4" customHeight="1">
      <x:c r="A3" s="34" t="str">
        <x:v>A hard-gate NO-GO overrides every score. Scores require evidence, not supplier claims alone.</x:v>
      </x:c>
      <x:c r="B3" s="34"/>
      <x:c r="C3" s="34"/>
      <x:c r="D3" s="34"/>
      <x:c r="E3" s="34"/>
      <x:c r="F3" s="34"/>
      <x:c r="G3" s="34"/>
      <x:c r="H3" s="34"/>
      <x:c r="I3" s="35"/>
      <x:c r="J3" s="35"/>
      <x:c r="K3" s="35"/>
      <x:c r="L3" s="35"/>
      <x:c r="M3" s="35"/>
      <x:c r="N3" s="35"/>
      <x:c r="O3" s="35"/>
      <x:c r="P3" s="35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</x:row>
    <x:row r="5" ht="22" customHeight="1">
      <x:c r="A5" s="9" t="str">
        <x:v>Supplier</x:v>
      </x:c>
      <x:c r="B5" s="9" t="str">
        <x:v>Hard gates</x:v>
      </x:c>
      <x:c r="C5" s="9" t="str">
        <x:v>DFM / geometry</x:v>
      </x:c>
      <x:c r="D5" s="9" t="str">
        <x:v>Surface</x:v>
      </x:c>
      <x:c r="E5" s="9" t="str">
        <x:v>Structure</x:v>
      </x:c>
      <x:c r="F5" s="9" t="str">
        <x:v>Quality</x:v>
      </x:c>
      <x:c r="G5" s="9" t="str">
        <x:v>Capacity</x:v>
      </x:c>
      <x:c r="H5" s="9" t="str">
        <x:v>Tooling / IP</x:v>
      </x:c>
      <x:c r="I5" s="9" t="str">
        <x:v>Packaging</x:v>
      </x:c>
      <x:c r="J5" s="9" t="str">
        <x:v>Landed cost</x:v>
      </x:c>
      <x:c r="K5" s="9" t="str">
        <x:v>Service</x:v>
      </x:c>
      <x:c r="L5" s="9" t="str">
        <x:v>Compliance</x:v>
      </x:c>
      <x:c r="M5" s="9" t="str">
        <x:v>Project comms</x:v>
      </x:c>
      <x:c r="N5" s="9" t="str">
        <x:v>Weighted score</x:v>
      </x:c>
      <x:c r="O5" s="9" t="str">
        <x:v>Decision</x:v>
      </x:c>
      <x:c r="P5" s="9" t="str">
        <x:v>Evidence note</x:v>
      </x:c>
    </x:row>
    <x:row r="6" ht="22" customHeight="1">
      <x:c r="A6" s="48" t="str">
        <x:v>Weight</x:v>
      </x:c>
      <x:c r="B6" s="49" t="str"/>
      <x:c r="C6" s="49" t="n">
        <x:v>18</x:v>
      </x:c>
      <x:c r="D6" s="49" t="n">
        <x:v>14</x:v>
      </x:c>
      <x:c r="E6" s="49" t="n">
        <x:v>14</x:v>
      </x:c>
      <x:c r="F6" s="49" t="n">
        <x:v>10</x:v>
      </x:c>
      <x:c r="G6" s="49" t="n">
        <x:v>8</x:v>
      </x:c>
      <x:c r="H6" s="49" t="n">
        <x:v>8</x:v>
      </x:c>
      <x:c r="I6" s="49" t="n">
        <x:v>8</x:v>
      </x:c>
      <x:c r="J6" s="49" t="n">
        <x:v>8</x:v>
      </x:c>
      <x:c r="K6" s="49" t="n">
        <x:v>5</x:v>
      </x:c>
      <x:c r="L6" s="49" t="n">
        <x:v>4</x:v>
      </x:c>
      <x:c r="M6" s="49" t="n">
        <x:v>3</x:v>
      </x:c>
      <x:c r="N6" s="49" t="str"/>
      <x:c r="O6" s="49" t="str"/>
      <x:c r="P6" s="50" t="str"/>
    </x:row>
    <x:row r="7" ht="22" customHeight="1">
      <x:c r="A7" s="35" t="str">
        <x:v>Supplier A</x:v>
      </x:c>
      <x:c r="B7" s="38" t="str">
        <x:v>INCOMPLETE</x:v>
      </x:c>
      <x:c r="C7" s="38" t="n">
        <x:v>0</x:v>
      </x:c>
      <x:c r="D7" s="38" t="n">
        <x:v>0</x:v>
      </x:c>
      <x:c r="E7" s="38" t="n">
        <x:v>0</x:v>
      </x:c>
      <x:c r="F7" s="38" t="n">
        <x:v>0</x:v>
      </x:c>
      <x:c r="G7" s="38" t="n">
        <x:v>0</x:v>
      </x:c>
      <x:c r="H7" s="38" t="n">
        <x:v>0</x:v>
      </x:c>
      <x:c r="I7" s="38" t="n">
        <x:v>0</x:v>
      </x:c>
      <x:c r="J7" s="38" t="n">
        <x:v>0</x:v>
      </x:c>
      <x:c r="K7" s="38" t="n">
        <x:v>0</x:v>
      </x:c>
      <x:c r="L7" s="38" t="n">
        <x:v>0</x:v>
      </x:c>
      <x:c r="M7" s="38" t="n">
        <x:v>0</x:v>
      </x:c>
      <x:c r="N7" s="51" t="n">
        <x:f>SUMPRODUCT(C7:M7,$C$6:$M$6)/5</x:f>
        <x:v>0</x:v>
      </x:c>
      <x:c r="O7" s="35" t="str">
        <x:f>IF(B7="NO-GO","NO-GO",IF(B7&lt;&gt;"PASS","INCOMPLETE",IF(N7&lt;60,"REJECT",IF(N7&lt;70,"BACKUP",IF(N7&lt;80,"PROTOTYPE",IF(N7&lt;90,"FINALIST","EXCELLENT"))))))</x:f>
        <x:v>INCOMPLETE</x:v>
      </x:c>
      <x:c r="P7" s="38" t="str"/>
    </x:row>
    <x:row r="8" ht="22" customHeight="1">
      <x:c r="A8" s="35" t="str">
        <x:v>Supplier B</x:v>
      </x:c>
      <x:c r="B8" s="38" t="str">
        <x:v>INCOMPLETE</x:v>
      </x:c>
      <x:c r="C8" s="38" t="n">
        <x:v>0</x:v>
      </x:c>
      <x:c r="D8" s="38" t="n">
        <x:v>0</x:v>
      </x:c>
      <x:c r="E8" s="38" t="n">
        <x:v>0</x:v>
      </x:c>
      <x:c r="F8" s="38" t="n">
        <x:v>0</x:v>
      </x:c>
      <x:c r="G8" s="38" t="n">
        <x:v>0</x:v>
      </x:c>
      <x:c r="H8" s="38" t="n">
        <x:v>0</x:v>
      </x:c>
      <x:c r="I8" s="38" t="n">
        <x:v>0</x:v>
      </x:c>
      <x:c r="J8" s="38" t="n">
        <x:v>0</x:v>
      </x:c>
      <x:c r="K8" s="38" t="n">
        <x:v>0</x:v>
      </x:c>
      <x:c r="L8" s="38" t="n">
        <x:v>0</x:v>
      </x:c>
      <x:c r="M8" s="38" t="n">
        <x:v>0</x:v>
      </x:c>
      <x:c r="N8" s="51" t="n">
        <x:f>SUMPRODUCT(C8:M8,$C$6:$M$6)/5</x:f>
        <x:v>0</x:v>
      </x:c>
      <x:c r="O8" s="35" t="str">
        <x:f>IF(B8="NO-GO","NO-GO",IF(B8&lt;&gt;"PASS","INCOMPLETE",IF(N8&lt;60,"REJECT",IF(N8&lt;70,"BACKUP",IF(N8&lt;80,"PROTOTYPE",IF(N8&lt;90,"FINALIST","EXCELLENT"))))))</x:f>
        <x:v>INCOMPLETE</x:v>
      </x:c>
      <x:c r="P8" s="38" t="str"/>
    </x:row>
    <x:row r="9" ht="22" customHeight="1">
      <x:c r="A9" s="35" t="str">
        <x:v>Supplier C</x:v>
      </x:c>
      <x:c r="B9" s="38" t="str">
        <x:v>INCOMPLETE</x:v>
      </x:c>
      <x:c r="C9" s="38" t="n">
        <x:v>0</x:v>
      </x:c>
      <x:c r="D9" s="38" t="n">
        <x:v>0</x:v>
      </x:c>
      <x:c r="E9" s="38" t="n">
        <x:v>0</x:v>
      </x:c>
      <x:c r="F9" s="38" t="n">
        <x:v>0</x:v>
      </x:c>
      <x:c r="G9" s="38" t="n">
        <x:v>0</x:v>
      </x:c>
      <x:c r="H9" s="38" t="n">
        <x:v>0</x:v>
      </x:c>
      <x:c r="I9" s="38" t="n">
        <x:v>0</x:v>
      </x:c>
      <x:c r="J9" s="38" t="n">
        <x:v>0</x:v>
      </x:c>
      <x:c r="K9" s="38" t="n">
        <x:v>0</x:v>
      </x:c>
      <x:c r="L9" s="38" t="n">
        <x:v>0</x:v>
      </x:c>
      <x:c r="M9" s="38" t="n">
        <x:v>0</x:v>
      </x:c>
      <x:c r="N9" s="51" t="n">
        <x:f>SUMPRODUCT(C9:M9,$C$6:$M$6)/5</x:f>
        <x:v>0</x:v>
      </x:c>
      <x:c r="O9" s="35" t="str">
        <x:f>IF(B9="NO-GO","NO-GO",IF(B9&lt;&gt;"PASS","INCOMPLETE",IF(N9&lt;60,"REJECT",IF(N9&lt;70,"BACKUP",IF(N9&lt;80,"PROTOTYPE",IF(N9&lt;90,"FINALIST","EXCELLENT"))))))</x:f>
        <x:v>INCOMPLETE</x:v>
      </x:c>
      <x:c r="P9" s="38" t="str"/>
    </x:row>
  </x:sheetData>
  <x:mergeCells>
    <x:mergeCell ref="A1:P2"/>
    <x:mergeCell ref="A3:H3"/>
  </x:mergeCells>
  <x:dataValidations count="2">
    <x:dataValidation type="list" sqref="B7:B9">
      <x:formula1>"INCOMPLETE,PASS,NO-GO"</x:formula1>
    </x:dataValidation>
    <x:dataValidation type="whole" operator="between" sqref="C7:M9">
      <x:formula1>0</x:formula1>
      <x:formula2>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4" hidden="0" customWidth="1"/>
  </x:cols>
  <x:sheetData>
    <x:row r="1" ht="30" customHeight="1">
      <x:c r="A1" s="3" t="str">
        <x:v>Model checks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All checks must pass before the workbook is used for an award recommendation.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Check</x:v>
      </x:c>
      <x:c r="B5" s="9" t="str">
        <x:v>Formula result</x:v>
      </x:c>
      <x:c r="C5" s="9" t="str">
        <x:v>Required</x:v>
      </x:c>
      <x:c r="D5" s="9" t="str">
        <x:v>Where to fix</x:v>
      </x:c>
      <x:c r="E5" s="35"/>
      <x:c r="F5" s="35"/>
      <x:c r="G5" s="35"/>
      <x:c r="H5" s="35"/>
    </x:row>
    <x:row r="6" ht="22" customHeight="1">
      <x:c r="A6" s="42" t="str">
        <x:v>Public price coverage</x:v>
      </x:c>
      <x:c r="B6" s="35" t="n">
        <x:f>COUNTA('Pricebook'!$E$6:$E$17)</x:f>
        <x:v>12</x:v>
      </x:c>
      <x:c r="C6" s="35" t="n">
        <x:v>12</x:v>
      </x:c>
      <x:c r="D6" s="35" t="str">
        <x:v>Pricebook</x:v>
      </x:c>
      <x:c r="E6" s="35"/>
      <x:c r="F6" s="35"/>
      <x:c r="G6" s="35"/>
      <x:c r="H6" s="35"/>
    </x:row>
    <x:row r="7" ht="22" customHeight="1">
      <x:c r="A7" s="42" t="str">
        <x:v>Negative quote components</x:v>
      </x:c>
      <x:c r="B7" s="35" t="n">
        <x:f>COUNTIF('Quotes'!$E$6:$R$50,"&lt;0")</x:f>
        <x:v>0</x:v>
      </x:c>
      <x:c r="C7" s="35" t="n">
        <x:v>0</x:v>
      </x:c>
      <x:c r="D7" s="35" t="str">
        <x:v>Quotes</x:v>
      </x:c>
      <x:c r="E7" s="35"/>
      <x:c r="F7" s="35"/>
      <x:c r="G7" s="35"/>
      <x:c r="H7" s="35"/>
    </x:row>
    <x:row r="8" ht="22" customHeight="1">
      <x:c r="A8" s="42" t="str">
        <x:v>VEILLE status</x:v>
      </x:c>
      <x:c r="B8" s="35" t="str">
        <x:f>'Targets'!$H$8</x:f>
        <x:v>BLOCKED</x:v>
      </x:c>
      <x:c r="C8" s="35" t="str">
        <x:v>BLOCKED</x:v>
      </x:c>
      <x:c r="D8" s="35" t="str">
        <x:v>Targets</x:v>
      </x:c>
      <x:c r="E8" s="35"/>
      <x:c r="F8" s="35"/>
      <x:c r="G8" s="35"/>
      <x:c r="H8" s="35"/>
    </x:row>
    <x:row r="9" ht="22" customHeight="1">
      <x:c r="A9" s="42" t="str">
        <x:v>Target products</x:v>
      </x:c>
      <x:c r="B9" s="35" t="n">
        <x:f>COUNTA('Targets'!$A$6:$A$8)</x:f>
        <x:v>3</x:v>
      </x:c>
      <x:c r="C9" s="35" t="n">
        <x:v>3</x:v>
      </x:c>
      <x:c r="D9" s="35" t="str">
        <x:v>Targets</x:v>
      </x:c>
      <x:c r="E9" s="35"/>
      <x:c r="F9" s="35"/>
      <x:c r="G9" s="35"/>
      <x:c r="H9" s="35"/>
    </x:row>
    <x:row r="10" ht="22" customHeight="1">
      <x:c r="A10" s="42" t="str">
        <x:v>Finish count</x:v>
      </x:c>
      <x:c r="B10" s="35" t="n">
        <x:f>COUNTA('Pricebook'!$B$6:$B$9)</x:f>
        <x:v>4</x:v>
      </x:c>
      <x:c r="C10" s="35" t="n">
        <x:v>4</x:v>
      </x:c>
      <x:c r="D10" s="35" t="str">
        <x:v>Pricebook</x:v>
      </x:c>
      <x:c r="E10" s="35"/>
      <x:c r="F10" s="35"/>
      <x:c r="G10" s="35"/>
      <x:c r="H10" s="35"/>
    </x:row>
    <x:row r="11" ht="22" customHeight="1">
      <x:c r="A11" s="42" t="str">
        <x:v>Supplier score weights</x:v>
      </x:c>
      <x:c r="B11" s="35" t="n">
        <x:f>SUM('Supplier_Score'!$C$6:$M$6)</x:f>
        <x:v>100</x:v>
      </x:c>
      <x:c r="C11" s="35" t="n">
        <x:v>100</x:v>
      </x:c>
      <x:c r="D11" s="35" t="str">
        <x:v>Supplier_Score</x:v>
      </x:c>
      <x:c r="E11" s="35"/>
      <x:c r="F11" s="35"/>
      <x:c r="G11" s="35"/>
      <x:c r="H11" s="35"/>
    </x:row>
    <x:row r="12" ht="22" customHeight="1">
      <x:c r="A12" s="42" t="str">
        <x:v>MODEL STATUS</x:v>
      </x:c>
      <x:c r="B12" s="52" t="str">
        <x:f>IF(AND(B6=C6,B7=C7,B8=C8,B9=C9,B10=C10,B11=C11),"PASS","FAIL")</x:f>
        <x:v>PASS</x:v>
      </x:c>
      <x:c r="C12" s="35" t="str">
        <x:v>PASS</x:v>
      </x:c>
      <x:c r="D12" s="35" t="str">
        <x:v>Resolve failed checks</x:v>
      </x:c>
      <x:c r="E12" s="35"/>
      <x:c r="F12" s="35"/>
      <x:c r="G12" s="35"/>
      <x:c r="H12" s="35"/>
    </x:row>
  </x:sheetData>
  <x:mergeCells>
    <x:mergeCell ref="A1:H2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78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Sources and status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34" t="str">
        <x:v>Hardcoded planning inputs are traceable. Supplier quotations and laboratory data replace assumptions when received.</x:v>
      </x:c>
      <x:c r="B3" s="34"/>
      <x:c r="C3" s="34"/>
      <x:c r="D3" s="34"/>
      <x:c r="E3" s="34"/>
      <x:c r="F3" s="34"/>
      <x:c r="G3" s="34"/>
      <x:c r="H3" s="34"/>
    </x:row>
    <x:row r="4" ht="22" customHeight="1">
      <x:c r="A4" s="35"/>
      <x:c r="B4" s="35"/>
      <x:c r="C4" s="35"/>
      <x:c r="D4" s="35"/>
      <x:c r="E4" s="35"/>
      <x:c r="F4" s="35"/>
      <x:c r="G4" s="35"/>
      <x:c r="H4" s="35"/>
    </x:row>
    <x:row r="5" ht="22" customHeight="1">
      <x:c r="A5" s="9" t="str">
        <x:v>Item</x:v>
      </x:c>
      <x:c r="B5" s="9" t="str">
        <x:v>Source type</x:v>
      </x:c>
      <x:c r="C5" s="9" t="str">
        <x:v>Reference</x:v>
      </x:c>
      <x:c r="D5" s="9" t="str">
        <x:v>URL / file</x:v>
      </x:c>
      <x:c r="E5" s="9" t="str">
        <x:v>As of</x:v>
      </x:c>
      <x:c r="F5" s="9" t="str">
        <x:v>Status</x:v>
      </x:c>
      <x:c r="G5" s="35"/>
      <x:c r="H5" s="35"/>
    </x:row>
    <x:row r="6" ht="22" customHeight="1">
      <x:c r="A6" s="37" t="str">
        <x:v>Canonical plan</x:v>
      </x:c>
      <x:c r="B6" s="37" t="str">
        <x:v>Internal</x:v>
      </x:c>
      <x:c r="C6" s="37" t="str">
        <x:v>Master plan</x:v>
      </x:c>
      <x:c r="D6" s="37" t="str">
        <x:v>docs/research/plan-maitre-final-isandre-taqa.md</x:v>
      </x:c>
      <x:c r="E6" s="37" t="str">
        <x:v>2026-07-27</x:v>
      </x:c>
      <x:c r="F6" s="37" t="str">
        <x:v>CANONICAL</x:v>
      </x:c>
      <x:c r="G6" s="35"/>
      <x:c r="H6" s="35"/>
    </x:row>
    <x:row r="7" ht="22" customHeight="1">
      <x:c r="A7" s="37" t="str">
        <x:v>Geometry</x:v>
      </x:c>
      <x:c r="B7" s="37" t="str">
        <x:v>Internal</x:v>
      </x:c>
      <x:c r="C7" s="37" t="str">
        <x:v>Geometry registry</x:v>
      </x:c>
      <x:c r="D7" s="37" t="str">
        <x:v>lib/isandre/geometry.data.json</x:v>
      </x:c>
      <x:c r="E7" s="37" t="str">
        <x:v>2026-07-27</x:v>
      </x:c>
      <x:c r="F7" s="37" t="str">
        <x:v>CANONICAL</x:v>
      </x:c>
      <x:c r="G7" s="35"/>
      <x:c r="H7" s="35"/>
    </x:row>
    <x:row r="8" ht="22" customHeight="1">
      <x:c r="A8" s="37" t="str">
        <x:v>Material platform</x:v>
      </x:c>
      <x:c r="B8" s="37" t="str">
        <x:v>Internal</x:v>
      </x:c>
      <x:c r="C8" s="37" t="str">
        <x:v>DA studies 18–20</x:v>
      </x:c>
      <x:c r="D8" s="37" t="str">
        <x:v>/Users/mohyi/CHATGPT/DA Rava 2040</x:v>
      </x:c>
      <x:c r="E8" s="37" t="str">
        <x:v>2026-07-27</x:v>
      </x:c>
      <x:c r="F8" s="37" t="str">
        <x:v>TARGET</x:v>
      </x:c>
      <x:c r="G8" s="35"/>
      <x:c r="H8" s="35"/>
    </x:row>
    <x:row r="9" ht="22" customHeight="1">
      <x:c r="A9" s="37" t="str">
        <x:v>GPSR</x:v>
      </x:c>
      <x:c r="B9" s="37" t="str">
        <x:v>EU official</x:v>
      </x:c>
      <x:c r="C9" s="37" t="str">
        <x:v>Product safety</x:v>
      </x:c>
      <x:c r="D9" s="37" t="str">
        <x:v>https://commission.europa.eu/business-economy-eu/doing-business-eu/eu-product-safety-and-labelling/product-safety_en</x:v>
      </x:c>
      <x:c r="E9" s="37" t="str">
        <x:v>2026-07-27</x:v>
      </x:c>
      <x:c r="F9" s="37" t="str">
        <x:v>CURRENT</x:v>
      </x:c>
      <x:c r="G9" s="35"/>
      <x:c r="H9" s="35"/>
    </x:row>
    <x:row r="10" ht="22" customHeight="1">
      <x:c r="A10" s="37" t="str">
        <x:v>PPWR</x:v>
      </x:c>
      <x:c r="B10" s="37" t="str">
        <x:v>EU official</x:v>
      </x:c>
      <x:c r="C10" s="37" t="str">
        <x:v>Regulation (EU) 2025/40</x:v>
      </x:c>
      <x:c r="D10" s="37" t="str">
        <x:v>https://eur-lex.europa.eu/eli/reg/2025/40/oj/eng</x:v>
      </x:c>
      <x:c r="E10" s="37" t="str">
        <x:v>2026-07-27</x:v>
      </x:c>
      <x:c r="F10" s="37" t="str">
        <x:v>APPLIES 2026-08-12</x:v>
      </x:c>
      <x:c r="G10" s="35"/>
      <x:c r="H10" s="35"/>
    </x:row>
    <x:row r="11" ht="22" customHeight="1">
      <x:c r="A11" s="37" t="str">
        <x:v>Packaging tests</x:v>
      </x:c>
      <x:c r="B11" s="37" t="str">
        <x:v>ISTA</x:v>
      </x:c>
      <x:c r="C11" s="37" t="str">
        <x:v>Test procedures</x:v>
      </x:c>
      <x:c r="D11" s="37" t="str">
        <x:v>https://www.ista.org/test_procedures.php</x:v>
      </x:c>
      <x:c r="E11" s="37" t="str">
        <x:v>2026-07-27</x:v>
      </x:c>
      <x:c r="F11" s="37" t="str">
        <x:v>LAB SELECTION</x:v>
      </x:c>
      <x:c r="G11" s="35"/>
      <x:c r="H11" s="35"/>
    </x:row>
    <x:row r="12" ht="22" customHeight="1">
      <x:c r="A12" s="37" t="str">
        <x:v>Public prices</x:v>
      </x:c>
      <x:c r="B12" s="37" t="str">
        <x:v>Internal</x:v>
      </x:c>
      <x:c r="C12" s="37" t="str">
        <x:v>Catalogue</x:v>
      </x:c>
      <x:c r="D12" s="37" t="str">
        <x:v>lib/isandre/catalog.ts</x:v>
      </x:c>
      <x:c r="E12" s="37" t="str">
        <x:v>2026-07-27</x:v>
      </x:c>
      <x:c r="F12" s="37" t="str">
        <x:v>WORKING</x:v>
      </x:c>
      <x:c r="G12" s="35"/>
      <x:c r="H12" s="35"/>
    </x:row>
    <x:row r="13" ht="22" customHeight="1">
      <x:c r="A13" s="37" t="str">
        <x:v>Supplier quotes</x:v>
      </x:c>
      <x:c r="B13" s="37" t="str">
        <x:v>External</x:v>
      </x:c>
      <x:c r="C13" s="37" t="str">
        <x:v>RFQ response</x:v>
      </x:c>
      <x:c r="D13" s="37" t="str">
        <x:v>Not received</x:v>
      </x:c>
      <x:c r="E13" s="37" t="str">
        <x:v>—</x:v>
      </x:c>
      <x:c r="F13" s="37" t="str">
        <x:v>MISSING</x:v>
      </x:c>
      <x:c r="G13" s="35"/>
      <x:c r="H13" s="35"/>
    </x:row>
    <x:row r="14" ht="22" customHeight="1">
      <x:c r="A14" s="37" t="str">
        <x:v>Golden sample</x:v>
      </x:c>
      <x:c r="B14" s="37" t="str">
        <x:v>Physical</x:v>
      </x:c>
      <x:c r="C14" s="37" t="str">
        <x:v>Signed master</x:v>
      </x:c>
      <x:c r="D14" s="37" t="str">
        <x:v>Not produced</x:v>
      </x:c>
      <x:c r="E14" s="37" t="str">
        <x:v>—</x:v>
      </x:c>
      <x:c r="F14" s="37" t="str">
        <x:v>OPEN</x:v>
      </x:c>
      <x:c r="G14" s="35"/>
      <x:c r="H14" s="35"/>
    </x:row>
  </x:sheetData>
  <x:mergeCells>
    <x:mergeCell ref="A1:H2"/>
    <x:mergeCell ref="A3:H3"/>
  </x:mergeCells>
  <x:pageMargins left="0.7" right="0.7" top="0.75" bottom="0.75" header="0.3" footer="0.3"/>
</x:worksheet>
</file>